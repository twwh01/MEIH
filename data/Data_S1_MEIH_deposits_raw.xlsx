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uniofleicester.sharepoint.com/sites/Team_50e7ef44-cf14-4331-9753-a21980019714/Shared Documents/General/Manuscripts &amp; Writing/MS_WongHearing_etal_MEIH/MEIH/data/"/>
    </mc:Choice>
  </mc:AlternateContent>
  <xr:revisionPtr revIDLastSave="177" documentId="8_{116E2482-0728-485E-BDFE-380FBD185C4E}" xr6:coauthVersionLast="47" xr6:coauthVersionMax="47" xr10:uidLastSave="{3D72EA46-4E99-40D0-AC32-1C88BB70576A}"/>
  <bookViews>
    <workbookView xWindow="-28920" yWindow="-2895" windowWidth="29040" windowHeight="15840" xr2:uid="{5DE8EE72-F8F9-4982-BD2F-826D35F1877B}"/>
  </bookViews>
  <sheets>
    <sheet name="references" sheetId="6" r:id="rId1"/>
    <sheet name="meih_occurrences" sheetId="5" r:id="rId2"/>
    <sheet name="csl_deposits" sheetId="7" r:id="rId3"/>
    <sheet name="csl_age_constraints" sheetId="9" r:id="rId4"/>
  </sheets>
  <externalReferences>
    <externalReference r:id="rId5"/>
  </externalReferences>
  <definedNames>
    <definedName name="_xlnm._FilterDatabase" localSheetId="3" hidden="1">csl_age_constraints!$A$1:$AJ$215</definedName>
    <definedName name="_xlnm._FilterDatabase" localSheetId="2" hidden="1">csl_deposits!$A$1:$CN$92</definedName>
    <definedName name="_xlnm._FilterDatabase" localSheetId="1" hidden="1">meih_occurrences!$A$1:$AB$56</definedName>
    <definedName name="_xlnm._FilterDatabase" localSheetId="0" hidden="1">references!$A$1:$D$122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8" i="5" l="1"/>
  <c r="B59" i="5"/>
  <c r="B60" i="5"/>
  <c r="B57" i="5"/>
  <c r="F51" i="7" l="1"/>
  <c r="G51" i="7"/>
  <c r="F52" i="7"/>
  <c r="G52" i="7"/>
  <c r="F53" i="7"/>
  <c r="G53" i="7"/>
  <c r="F50" i="7"/>
  <c r="G50" i="7"/>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2" i="5"/>
  <c r="B2" i="9" l="1"/>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alcChain>
</file>

<file path=xl/sharedStrings.xml><?xml version="1.0" encoding="utf-8"?>
<sst xmlns="http://schemas.openxmlformats.org/spreadsheetml/2006/main" count="5717" uniqueCount="1677">
  <si>
    <t>maximum</t>
  </si>
  <si>
    <t>minimum</t>
  </si>
  <si>
    <t>deposition</t>
  </si>
  <si>
    <t>WP045</t>
  </si>
  <si>
    <t>Antaq Basin</t>
  </si>
  <si>
    <t>porphyritic microgranite</t>
  </si>
  <si>
    <t>intrusion</t>
  </si>
  <si>
    <t>U-Pb</t>
  </si>
  <si>
    <t>CA-TIMS</t>
  </si>
  <si>
    <t>igneous zircon</t>
  </si>
  <si>
    <t>Nettle et al 2014</t>
  </si>
  <si>
    <t>WP65</t>
  </si>
  <si>
    <t>pyroclastic tuff</t>
  </si>
  <si>
    <t>eruption</t>
  </si>
  <si>
    <t>LA-ICP-MS</t>
  </si>
  <si>
    <t>Jibalah</t>
  </si>
  <si>
    <t>Rubtayn</t>
  </si>
  <si>
    <t>upper Rubtayn</t>
  </si>
  <si>
    <t>S02-04</t>
  </si>
  <si>
    <t>Muraykhah</t>
  </si>
  <si>
    <t>S02-23</t>
  </si>
  <si>
    <t xml:space="preserve">Interpreted as an inherited zircon date due to stratigraphic incongruence. </t>
  </si>
  <si>
    <t>Chumakov 2009</t>
  </si>
  <si>
    <t>KG21</t>
  </si>
  <si>
    <t>diamictite</t>
  </si>
  <si>
    <t>detrital zircon</t>
  </si>
  <si>
    <t>Djetymtau</t>
  </si>
  <si>
    <t>Rojas-Agramonte et al 2014</t>
  </si>
  <si>
    <t>carbonate</t>
  </si>
  <si>
    <t>Yang et al 2021</t>
  </si>
  <si>
    <t>KOB-26</t>
  </si>
  <si>
    <t>tuff</t>
  </si>
  <si>
    <t>CA-ID-TIMS</t>
  </si>
  <si>
    <t>Volyn</t>
  </si>
  <si>
    <t>Rataychitsy</t>
  </si>
  <si>
    <t>Srodon et al 2023</t>
  </si>
  <si>
    <t>Francovschi et al 2023</t>
  </si>
  <si>
    <t>Francovschi et al 2024</t>
  </si>
  <si>
    <t>KOB-25</t>
  </si>
  <si>
    <t>amphibole</t>
  </si>
  <si>
    <t>Ar-Ar</t>
  </si>
  <si>
    <t>metamorphic amphibole</t>
  </si>
  <si>
    <t>Bakers Bay Suite</t>
  </si>
  <si>
    <t>metagabbro</t>
  </si>
  <si>
    <t>Frimmel &amp; Frank 1998</t>
  </si>
  <si>
    <t>Frimmel 2011a</t>
  </si>
  <si>
    <t>dolostone</t>
  </si>
  <si>
    <t>Chameis</t>
  </si>
  <si>
    <t>Dernburg</t>
  </si>
  <si>
    <t>Sholtzberg</t>
  </si>
  <si>
    <t>Frimmel &amp; Folling 2004</t>
  </si>
  <si>
    <t>Clanzschwitz diamictite</t>
  </si>
  <si>
    <t>Laas1</t>
  </si>
  <si>
    <t>Clanzschwitz</t>
  </si>
  <si>
    <t>granodiorite</t>
  </si>
  <si>
    <t>Laas granodiorite</t>
  </si>
  <si>
    <t>Linnemann et al 2018</t>
  </si>
  <si>
    <t>CL2</t>
  </si>
  <si>
    <t>quartzite</t>
  </si>
  <si>
    <t>Member 2</t>
  </si>
  <si>
    <t>CL1</t>
  </si>
  <si>
    <t>diamictite matrix</t>
  </si>
  <si>
    <t>Member 3</t>
  </si>
  <si>
    <t>Cla1n</t>
  </si>
  <si>
    <t>diamictite clast</t>
  </si>
  <si>
    <t>LG21-17B</t>
  </si>
  <si>
    <t>EPMA</t>
  </si>
  <si>
    <t>detrital monazite</t>
  </si>
  <si>
    <t>Kuhnemann et al 2024</t>
  </si>
  <si>
    <t>Cottons Breccia</t>
  </si>
  <si>
    <t>gabbro</t>
  </si>
  <si>
    <t>SHRIMP</t>
  </si>
  <si>
    <t>Grassy</t>
  </si>
  <si>
    <t>Grimes Intrusive Suite</t>
  </si>
  <si>
    <t>Calver et al 2004</t>
  </si>
  <si>
    <t>Calver &amp; Walter 2000</t>
  </si>
  <si>
    <t>Direen &amp; Jago 2008</t>
  </si>
  <si>
    <t>Calver et al 2013</t>
  </si>
  <si>
    <t>Sample 1 R008184</t>
  </si>
  <si>
    <t>sandstone</t>
  </si>
  <si>
    <t>Sample 2 R008185</t>
  </si>
  <si>
    <t>Sample 3 R008186</t>
  </si>
  <si>
    <t>Sample 4 R008187</t>
  </si>
  <si>
    <t>Robbins Passage</t>
  </si>
  <si>
    <t>rhyodacite</t>
  </si>
  <si>
    <t>Togari</t>
  </si>
  <si>
    <t>Kanunnah</t>
  </si>
  <si>
    <t>Day-1</t>
  </si>
  <si>
    <t>ash bed</t>
  </si>
  <si>
    <t>Dhaiqa</t>
  </si>
  <si>
    <t>Middle Dhaiqa</t>
  </si>
  <si>
    <t>Unit c</t>
  </si>
  <si>
    <t>Dhaiqa diamictite</t>
  </si>
  <si>
    <t>Vickers-Rich et al 2013</t>
  </si>
  <si>
    <t>DY-1_rim</t>
  </si>
  <si>
    <t>Miller et al 2008</t>
  </si>
  <si>
    <t>DY-1_core</t>
  </si>
  <si>
    <t>16JJW-3</t>
  </si>
  <si>
    <t>Doushantuo</t>
  </si>
  <si>
    <t>Miaohe</t>
  </si>
  <si>
    <t>Zhangcunping</t>
  </si>
  <si>
    <t>Wang et al 2020</t>
  </si>
  <si>
    <t>F1404</t>
  </si>
  <si>
    <t>Jiulongwan</t>
  </si>
  <si>
    <t>shale</t>
  </si>
  <si>
    <t>Re-Os</t>
  </si>
  <si>
    <t>Member II</t>
  </si>
  <si>
    <t>Zhu et al 2013</t>
  </si>
  <si>
    <t>Ouyang et al 2019</t>
  </si>
  <si>
    <t>15LZash1</t>
  </si>
  <si>
    <t>SIMS</t>
  </si>
  <si>
    <t>Date originally to constrain Weng'an biota</t>
  </si>
  <si>
    <t>Unit 5</t>
  </si>
  <si>
    <t>Zhou et al 2017</t>
  </si>
  <si>
    <t>18SC25</t>
  </si>
  <si>
    <t>granite</t>
  </si>
  <si>
    <t>Date only published in abstract form.</t>
  </si>
  <si>
    <t>Lamboo Complex</t>
  </si>
  <si>
    <t>Bow River Granite</t>
  </si>
  <si>
    <t>Page &amp; Sun 1994</t>
  </si>
  <si>
    <t>Corkeron 2011</t>
  </si>
  <si>
    <t>dolerite</t>
  </si>
  <si>
    <t>Note possible Pb enrichment either primary or during analysis.</t>
  </si>
  <si>
    <t>Milliwindi dyke</t>
  </si>
  <si>
    <t>Hanley &amp; Wingate 2000</t>
  </si>
  <si>
    <t>TIMS</t>
  </si>
  <si>
    <t>Catoctin</t>
  </si>
  <si>
    <t>Southworth et al 2009</t>
  </si>
  <si>
    <t>Hebert et al 2010</t>
  </si>
  <si>
    <t>Teniagouri</t>
  </si>
  <si>
    <t>Lahondere et al 2005</t>
  </si>
  <si>
    <t>Shields et al 2007</t>
  </si>
  <si>
    <t>Shields-Zhou et al 2011</t>
  </si>
  <si>
    <t>NoP-0.9</t>
  </si>
  <si>
    <t>St Marys</t>
  </si>
  <si>
    <t>E5</t>
  </si>
  <si>
    <t>Conception</t>
  </si>
  <si>
    <t>Drook</t>
  </si>
  <si>
    <t>Pu et al 2016</t>
  </si>
  <si>
    <t>GCI-7.75</t>
  </si>
  <si>
    <t>E3</t>
  </si>
  <si>
    <t>Mall Bay</t>
  </si>
  <si>
    <t>GCI-6.55</t>
  </si>
  <si>
    <t>E4</t>
  </si>
  <si>
    <t>GV2</t>
  </si>
  <si>
    <t>Granville</t>
  </si>
  <si>
    <t>Member 1</t>
  </si>
  <si>
    <t>Linnemann et al 2022</t>
  </si>
  <si>
    <t>GV6</t>
  </si>
  <si>
    <t>Granville Tillite</t>
  </si>
  <si>
    <t>Lower tillite</t>
  </si>
  <si>
    <t>GV16</t>
  </si>
  <si>
    <t>conglomerate</t>
  </si>
  <si>
    <t>conglomerate marker horizon</t>
  </si>
  <si>
    <t>South Stack</t>
  </si>
  <si>
    <t>Collins &amp; Buchan 2004</t>
  </si>
  <si>
    <t>Kawai et al 2008</t>
  </si>
  <si>
    <t>gneiss</t>
  </si>
  <si>
    <t>Rb-Sr</t>
  </si>
  <si>
    <t>wholerock</t>
  </si>
  <si>
    <t>Holland Arms gneiss</t>
  </si>
  <si>
    <t>Beckinsale &amp; Thorpe 1979</t>
  </si>
  <si>
    <t>LLZ519</t>
  </si>
  <si>
    <t>Asanuma et al 2017</t>
  </si>
  <si>
    <t>Tindal 2023</t>
  </si>
  <si>
    <t>2371D</t>
  </si>
  <si>
    <t>andesite</t>
  </si>
  <si>
    <t>Quruqtagh</t>
  </si>
  <si>
    <t>Zhamoketi</t>
  </si>
  <si>
    <t>Xu et al 2009</t>
  </si>
  <si>
    <t>Kaplonosy-3</t>
  </si>
  <si>
    <t>Kaplonosy IG1</t>
  </si>
  <si>
    <t>palaeosol</t>
  </si>
  <si>
    <t>Palaeosol level regionally correlated to the same level as the Slutsky-Kholonevychi diamictite</t>
  </si>
  <si>
    <t>Teremiski</t>
  </si>
  <si>
    <t>Regionally correlated to strata underlying the Slutsk-Kholonevychi diamictite</t>
  </si>
  <si>
    <t>Moh-1</t>
  </si>
  <si>
    <t>bentonite</t>
  </si>
  <si>
    <t>Same bentonite as sample Otaci-1 regionally correlated to strata overlying the Slutsk-Kholonevychi diamictite</t>
  </si>
  <si>
    <t>Mohyliv-Podilskyi</t>
  </si>
  <si>
    <t>Novodnistrovsk</t>
  </si>
  <si>
    <t>Yaryshiv</t>
  </si>
  <si>
    <t>Otaci-1</t>
  </si>
  <si>
    <t>Same bentonite as sample Moh-1 regionally correlated to strata overlying the Slutsk-Kholonevychi diamictite</t>
  </si>
  <si>
    <t>DAM18LA-Dam25-Struha5A+6A</t>
  </si>
  <si>
    <t>Regionally correlated to strata overlying the Slutsk-Kholonevychi diamictite</t>
  </si>
  <si>
    <t>Lyadova-Bernashivka</t>
  </si>
  <si>
    <t>DAM-11</t>
  </si>
  <si>
    <t>mudstone</t>
  </si>
  <si>
    <t>Regionally correlated to strata overlying or possibly syndepositional with the Slutsk-Kholonevychi diamictite</t>
  </si>
  <si>
    <t>Mohyliv</t>
  </si>
  <si>
    <t>Lyadova</t>
  </si>
  <si>
    <t>Sample 4529-3</t>
  </si>
  <si>
    <t>Regionally correlated to deposition simultaneous with the Slutsk-Kholonevychi diamictite</t>
  </si>
  <si>
    <t>Ushytsya</t>
  </si>
  <si>
    <t>Kolky</t>
  </si>
  <si>
    <t>Tashky-20</t>
  </si>
  <si>
    <t>Prihoryn</t>
  </si>
  <si>
    <t>Dam-28</t>
  </si>
  <si>
    <t>turbiditic sandstone</t>
  </si>
  <si>
    <t>Dernashivka</t>
  </si>
  <si>
    <t>Paszkowski et al 2021</t>
  </si>
  <si>
    <t>Putryntsi-4</t>
  </si>
  <si>
    <t>From the Slutsk-Kholonevychi diamictite matrix</t>
  </si>
  <si>
    <t>Slutsk</t>
  </si>
  <si>
    <t>Putryntsi-5</t>
  </si>
  <si>
    <t>Kholonevychi</t>
  </si>
  <si>
    <t>Tayvallich keratophyre</t>
  </si>
  <si>
    <t>keratophyre</t>
  </si>
  <si>
    <t>Argyll</t>
  </si>
  <si>
    <t>Halliday et al 1989</t>
  </si>
  <si>
    <t>Tayvallich Tuff</t>
  </si>
  <si>
    <t>Dempster et al 2002</t>
  </si>
  <si>
    <t>IP 808</t>
  </si>
  <si>
    <t>metavolcanic</t>
  </si>
  <si>
    <t>Votuverava</t>
  </si>
  <si>
    <t>Ribeira</t>
  </si>
  <si>
    <t>metavolcanics</t>
  </si>
  <si>
    <t>Campanha et al 2008</t>
  </si>
  <si>
    <t>F-203</t>
  </si>
  <si>
    <t>Iporanga</t>
  </si>
  <si>
    <t>basal breccia</t>
  </si>
  <si>
    <t>Sample 14DL15</t>
  </si>
  <si>
    <t>ignimbrite</t>
  </si>
  <si>
    <t>Ouarzazate</t>
  </si>
  <si>
    <t>Letsch et al 2018</t>
  </si>
  <si>
    <t>BP13</t>
  </si>
  <si>
    <t>Youbi et al 2020</t>
  </si>
  <si>
    <t>Sample 14DL21</t>
  </si>
  <si>
    <t>Ansra</t>
  </si>
  <si>
    <t>Izdar</t>
  </si>
  <si>
    <t>KN2</t>
  </si>
  <si>
    <t>Kahar</t>
  </si>
  <si>
    <t>Kahar diamictite</t>
  </si>
  <si>
    <t>Etemad-Saeed et al 2016</t>
  </si>
  <si>
    <t>KN1</t>
  </si>
  <si>
    <t>KS1</t>
  </si>
  <si>
    <t>KS2</t>
  </si>
  <si>
    <t>Sample 09-03-15</t>
  </si>
  <si>
    <t>Central Urals</t>
  </si>
  <si>
    <t>unspecified</t>
  </si>
  <si>
    <t>Sylvitsa</t>
  </si>
  <si>
    <t>Perevalok</t>
  </si>
  <si>
    <t>Grazhdankin et al 2011</t>
  </si>
  <si>
    <t>Maslov et al 2013</t>
  </si>
  <si>
    <t>Chumakov et al 2013</t>
  </si>
  <si>
    <t>Serebryanka</t>
  </si>
  <si>
    <t>Sample 11-m-007</t>
  </si>
  <si>
    <t>alkali basalt</t>
  </si>
  <si>
    <t>Tany</t>
  </si>
  <si>
    <t>metabasalt</t>
  </si>
  <si>
    <t>Arsha</t>
  </si>
  <si>
    <t>Puchkov 2010</t>
  </si>
  <si>
    <t>U91</t>
  </si>
  <si>
    <t>Piriapolis</t>
  </si>
  <si>
    <t>syenite</t>
  </si>
  <si>
    <t>Sierra de Animas</t>
  </si>
  <si>
    <t>Bossi et al 1993</t>
  </si>
  <si>
    <t>SA1HO#1</t>
  </si>
  <si>
    <t>Pan de Azucar</t>
  </si>
  <si>
    <t>Oyhantcabal et al 2007</t>
  </si>
  <si>
    <t>NP-116</t>
  </si>
  <si>
    <t>R60-R81</t>
  </si>
  <si>
    <t>Lavalleja</t>
  </si>
  <si>
    <t>Mallmann et al 2007</t>
  </si>
  <si>
    <t>Sample 77-31</t>
  </si>
  <si>
    <t>welded tuff</t>
  </si>
  <si>
    <t>ID-TIMS</t>
  </si>
  <si>
    <t>Harbour Main</t>
  </si>
  <si>
    <t>Weavers Hill tuff</t>
  </si>
  <si>
    <t>Krogh et al 1988</t>
  </si>
  <si>
    <t>PSPC-8</t>
  </si>
  <si>
    <t>Oselok</t>
  </si>
  <si>
    <t>Marnya</t>
  </si>
  <si>
    <t>Priyatkina et al 2018</t>
  </si>
  <si>
    <t>RR90-98</t>
  </si>
  <si>
    <t>Roberston River Igneous Suite</t>
  </si>
  <si>
    <t>Hitt Mountain Alkali Feldspar Syenite</t>
  </si>
  <si>
    <t>Tollo &amp; Aleinikoff 1996</t>
  </si>
  <si>
    <t>Bailey &amp; Peters 1998</t>
  </si>
  <si>
    <t>RRDH-5</t>
  </si>
  <si>
    <t>Battle Mountain Alkali Feldspar Granite</t>
  </si>
  <si>
    <t>RR85-22</t>
  </si>
  <si>
    <t>B01104</t>
  </si>
  <si>
    <t>arkose</t>
  </si>
  <si>
    <t>Hedmark</t>
  </si>
  <si>
    <t>Rendalen</t>
  </si>
  <si>
    <t>Moelv Tillite</t>
  </si>
  <si>
    <t>Bingen et al 2005</t>
  </si>
  <si>
    <t>Nystuen &amp; Lamminen 2011</t>
  </si>
  <si>
    <t>Dohna_all</t>
  </si>
  <si>
    <t>Dohna granodiorite</t>
  </si>
  <si>
    <t>WeG5</t>
  </si>
  <si>
    <t>Weesenstein</t>
  </si>
  <si>
    <t>Muglitz</t>
  </si>
  <si>
    <t>Weesenstein diamictite</t>
  </si>
  <si>
    <t>WeG3</t>
  </si>
  <si>
    <t>WeG2</t>
  </si>
  <si>
    <t>Pb-Pb</t>
  </si>
  <si>
    <t>Port Nolloth</t>
  </si>
  <si>
    <t>Hilda</t>
  </si>
  <si>
    <t>Picklehaube</t>
  </si>
  <si>
    <t>lower Picklehaube</t>
  </si>
  <si>
    <t>Folling et al 2000</t>
  </si>
  <si>
    <t>Holgat</t>
  </si>
  <si>
    <t>Bloeddrif</t>
  </si>
  <si>
    <t>OR1</t>
  </si>
  <si>
    <t>Alcudian</t>
  </si>
  <si>
    <t>Lower Alcudian</t>
  </si>
  <si>
    <t>Orellana diamictite</t>
  </si>
  <si>
    <t>Alvaro et al 2019</t>
  </si>
  <si>
    <t>ALC-5</t>
  </si>
  <si>
    <t>Upper Alcudian</t>
  </si>
  <si>
    <t>Talavera et al 2015</t>
  </si>
  <si>
    <t>BOPC343</t>
  </si>
  <si>
    <t>Bou Azzer</t>
  </si>
  <si>
    <t>porphyritic basalt</t>
  </si>
  <si>
    <t>Taroudant</t>
  </si>
  <si>
    <t>Adoudou</t>
  </si>
  <si>
    <t>Blein et al 2014</t>
  </si>
  <si>
    <t>BODG6</t>
  </si>
  <si>
    <t>ALDG20</t>
  </si>
  <si>
    <t>9-MZ8</t>
  </si>
  <si>
    <t>Errami et al 2021</t>
  </si>
  <si>
    <t>8-MZ9</t>
  </si>
  <si>
    <t>pyroclastic sandstone</t>
  </si>
  <si>
    <t>M'Gouna</t>
  </si>
  <si>
    <t>SA-20 (SdAn-1)</t>
  </si>
  <si>
    <t>microsyenite</t>
  </si>
  <si>
    <t>Sierra de las Animas complex</t>
  </si>
  <si>
    <t>Rapalini et al 2015</t>
  </si>
  <si>
    <t>SA-12 (SdAn-2)</t>
  </si>
  <si>
    <t>rhyolite</t>
  </si>
  <si>
    <t>El Tambo</t>
  </si>
  <si>
    <t>SA-8 (SdAn3)</t>
  </si>
  <si>
    <t>hornblende syenite</t>
  </si>
  <si>
    <t>Youngest single grain date agrees with youngest population date of 593 +11/-18 Ma</t>
  </si>
  <si>
    <t>Playa Hermosa</t>
  </si>
  <si>
    <t>Pourpree de l'Ahnet</t>
  </si>
  <si>
    <t>2-ANP-006-MT</t>
  </si>
  <si>
    <t>Araras</t>
  </si>
  <si>
    <t>Guia</t>
  </si>
  <si>
    <t>Serra Azul diamictite</t>
  </si>
  <si>
    <t>Babinski et al 2006</t>
  </si>
  <si>
    <t>Figueiredo 2010</t>
  </si>
  <si>
    <t>Lamoso et al 2023</t>
  </si>
  <si>
    <t>Serra Azul</t>
  </si>
  <si>
    <t>Unit A</t>
  </si>
  <si>
    <t>BSA-07</t>
  </si>
  <si>
    <t>McGee et al 2015a</t>
  </si>
  <si>
    <t>McGee et al 2015b</t>
  </si>
  <si>
    <t>Squantum diamictite</t>
  </si>
  <si>
    <t>MT94-2BC</t>
  </si>
  <si>
    <t>Sample containts a lot of xenocrystic/detrital zircons</t>
  </si>
  <si>
    <t>Boston Bay</t>
  </si>
  <si>
    <t>Cambridge Argillite</t>
  </si>
  <si>
    <t>Mystic River Quarry ash bed</t>
  </si>
  <si>
    <t>Thompson &amp; Bowring 2000</t>
  </si>
  <si>
    <t>Sample 198-14</t>
  </si>
  <si>
    <t>argillite</t>
  </si>
  <si>
    <t>MT99-4</t>
  </si>
  <si>
    <t>Dorchester Tunnel</t>
  </si>
  <si>
    <t>Roxbury Conglomerate</t>
  </si>
  <si>
    <t>Squantum</t>
  </si>
  <si>
    <t>MT96-6</t>
  </si>
  <si>
    <t>AW94-3</t>
  </si>
  <si>
    <t>AW94-4</t>
  </si>
  <si>
    <t>10G02</t>
  </si>
  <si>
    <t>Yili</t>
  </si>
  <si>
    <t>Talisayi</t>
  </si>
  <si>
    <t>Yellow sandstone</t>
  </si>
  <si>
    <t>He et al 2015</t>
  </si>
  <si>
    <t>RTM-154</t>
  </si>
  <si>
    <t>Tizwat</t>
  </si>
  <si>
    <t>Ouarzazate PIII</t>
  </si>
  <si>
    <t>Amassine suite</t>
  </si>
  <si>
    <t>Tazoult Quartz Porphyry</t>
  </si>
  <si>
    <t>Thomas et al 2002</t>
  </si>
  <si>
    <t>Sample 14DL36</t>
  </si>
  <si>
    <t>Ait Ahmane</t>
  </si>
  <si>
    <t>Anti-Atlas PII</t>
  </si>
  <si>
    <t>Bou Azzer diamictite</t>
  </si>
  <si>
    <t>Sample 14DL11</t>
  </si>
  <si>
    <t>Taghdout</t>
  </si>
  <si>
    <t>Sample 15DL32</t>
  </si>
  <si>
    <t>ALDG21</t>
  </si>
  <si>
    <t>rhyolitic welded tuff</t>
  </si>
  <si>
    <t>Tiddiline</t>
  </si>
  <si>
    <t>Sample #99-18</t>
  </si>
  <si>
    <t>Bleida granodiorite</t>
  </si>
  <si>
    <t>Inglis et al 2004</t>
  </si>
  <si>
    <t>Sample #00-09</t>
  </si>
  <si>
    <t>SB-9</t>
  </si>
  <si>
    <t>rhyolitic tuff</t>
  </si>
  <si>
    <t>Uwharrie</t>
  </si>
  <si>
    <t>Ingle et al 2003</t>
  </si>
  <si>
    <t>Weaver et al 2006</t>
  </si>
  <si>
    <t>#00CT-03</t>
  </si>
  <si>
    <t>Albermarle</t>
  </si>
  <si>
    <t>Cid</t>
  </si>
  <si>
    <t>Flat Swamp</t>
  </si>
  <si>
    <t>Hibbard et al 2006</t>
  </si>
  <si>
    <t>Hibbard et al 2009</t>
  </si>
  <si>
    <t>Trinity diamictite</t>
  </si>
  <si>
    <t>OBJP-01</t>
  </si>
  <si>
    <t>Old Bonaventure</t>
  </si>
  <si>
    <t>E8</t>
  </si>
  <si>
    <t>Musgravetown</t>
  </si>
  <si>
    <t>Rocky Harbour</t>
  </si>
  <si>
    <t>OBJP-03</t>
  </si>
  <si>
    <t>E7</t>
  </si>
  <si>
    <t>B1552-42.2</t>
  </si>
  <si>
    <t>E6</t>
  </si>
  <si>
    <t>94-N-10B</t>
  </si>
  <si>
    <t>Nama</t>
  </si>
  <si>
    <t>Kuibis</t>
  </si>
  <si>
    <t>Zaris</t>
  </si>
  <si>
    <t>Hoogland</t>
  </si>
  <si>
    <t>lower Hoogland ash bed</t>
  </si>
  <si>
    <t>Bowring et al 2007</t>
  </si>
  <si>
    <t>L1941</t>
  </si>
  <si>
    <t>Schwarzrand</t>
  </si>
  <si>
    <t>Nudaus</t>
  </si>
  <si>
    <t>Vingerbreek</t>
  </si>
  <si>
    <t>basal Vingerbreek</t>
  </si>
  <si>
    <t>Nelson et al 2022</t>
  </si>
  <si>
    <t>A3</t>
  </si>
  <si>
    <t>Hanshan</t>
  </si>
  <si>
    <t>Pochengshan</t>
  </si>
  <si>
    <t>Niu et al 2024</t>
  </si>
  <si>
    <t>A4</t>
  </si>
  <si>
    <t>E2</t>
  </si>
  <si>
    <t>Shuangyingshan West</t>
  </si>
  <si>
    <t>Shuangyingshan</t>
  </si>
  <si>
    <t>F1</t>
  </si>
  <si>
    <t>Xichangjing</t>
  </si>
  <si>
    <t>B2</t>
  </si>
  <si>
    <t>Shuangyingshan East</t>
  </si>
  <si>
    <t>E1</t>
  </si>
  <si>
    <t>argillaceous mudstone</t>
  </si>
  <si>
    <t>A1</t>
  </si>
  <si>
    <t>A2</t>
  </si>
  <si>
    <t>tuffaceous mudstone</t>
  </si>
  <si>
    <t>B1</t>
  </si>
  <si>
    <t>D1</t>
  </si>
  <si>
    <t>metasandstone</t>
  </si>
  <si>
    <t>Avalonia</t>
  </si>
  <si>
    <t>Arabian Shield</t>
  </si>
  <si>
    <t>Yangtze Block</t>
  </si>
  <si>
    <t>South China</t>
  </si>
  <si>
    <t>East Gondwana</t>
  </si>
  <si>
    <t>Flinders Ranges</t>
  </si>
  <si>
    <t>Bunyeroo Gorge</t>
  </si>
  <si>
    <t>Laurentia</t>
  </si>
  <si>
    <t>Avalon Peninsula</t>
  </si>
  <si>
    <t>Busch et al 2023</t>
  </si>
  <si>
    <t>Bonavista Peninsula</t>
  </si>
  <si>
    <t>Tasmania</t>
  </si>
  <si>
    <t>Mulder et al 2020</t>
  </si>
  <si>
    <t>New England</t>
  </si>
  <si>
    <t>West Gondwana</t>
  </si>
  <si>
    <t>Cadomia</t>
  </si>
  <si>
    <t>Juruena sub-basin</t>
  </si>
  <si>
    <t>Rooney et al 2020</t>
  </si>
  <si>
    <t>Baltica</t>
  </si>
  <si>
    <t>Siberia</t>
  </si>
  <si>
    <t>Bowyer et al 2023 GSABull</t>
  </si>
  <si>
    <t>Wang et al 2017</t>
  </si>
  <si>
    <t>Kalahari</t>
  </si>
  <si>
    <t>Bowyer et al 2023 EPSL</t>
  </si>
  <si>
    <t>Yang, C., Rooney, A.D., et al. 2021. The tempo of Ediacaran evolution. Science Advances, 7, eabi9643, https://doi.org/10.1126/sciadv.abi9643.</t>
  </si>
  <si>
    <t>Zhu, B., Becker, H., Jiang, S.-Y., Pi, D.-H., Fischer-Gödde, M. and Yang, J.-H. 2013. Re–Os geochronology of black shales from the Neoproterozoic Doushantuo Formation, Yangtze platform, South China. Precambrian Research, 225, 67–76, https://doi.org/10.1016/j.precamres.2012.02.002.</t>
  </si>
  <si>
    <t>Calver, C.R. and Walter, M.R. 2000. The late Neoproterozoic Grassy Group of King Island, Tasmania: correlation and palaeogeographic significance. Precambrian Research, 100, 299–312, https://doi.org/10.1016/S0301-9268(99)00078-9.</t>
  </si>
  <si>
    <t>Calver, C.R., Black, L.P., Everard, J.L. and Seymour, D.B. 2004. U-Pb zircon age constraints on late Neoproterozoic glaciation in Tasmania. Geology, 32, 893–896, https://doi.org/10.1130/G20713.1.</t>
  </si>
  <si>
    <t>Pu, J.P., Bowring, S.A., et al. 2016. Dodging snowballs: Geochronology of the Gaskiers glaciation and the first appearance of the Ediacaran biota. Geology, 44, 955–958, https://doi.org/10.1130/G38284.1.</t>
  </si>
  <si>
    <t>Rooney, A.D., Cantine, M.D., et al. 2020. Calibrating the coevolution of Ediacaran life and environment. Proceedings of the National Academy of Sciences, https://doi.org/10.1073/pnas.2002918117.</t>
  </si>
  <si>
    <t>Środoń, J., Condon, D.J., et al. 2023. Ages of the Ediacaran Volyn-Brest trap volcanism, glaciations, paleosols, Podillya Ediacaran soft-bodied organisms, and the Redkino-Kotlin boundary (East European Craton) constrained by zircon single grain U-Pb dating. Precambrian Research, 386, 106962, https://doi.org/10.1016/j.precamres.2023.106962.</t>
  </si>
  <si>
    <t>Thomas, R.J., Chevallier, L.P., et al. 2002. Precambrian evolution of the Sirwa Window, Anti-Atlas Orogen, Morocco. Precambrian Research, 118, 1–57, https://doi.org/10.1016/S0301-9268(02)00075-X.</t>
  </si>
  <si>
    <t>Thompson, M.D. and Bowring, S.A. 2000. Age of the Squantum “tillite,” Boston Basin, Massachusetts; U-Pb zircon constraints on terminal Neoproterozoic glaciation. American Journal of Science, 300, 630–655, https://doi.org/10.2475/ajs.300.8.630.</t>
  </si>
  <si>
    <t>Nelson, L.L., Ramezani, J., et al. 2022. Pushing the boundary: A calibrated Ediacaran-Cambrian stratigraphic record from the Nama Group in northwestern Republic of South Africa. Earth and Planetary Science Letters, 580, 117396, https://doi.org/10.1016/j.epsl.2022.117396.</t>
  </si>
  <si>
    <t>Miller, N., Johnson, P. and Stern, B. 2008. Marine versus non-marine environments for the Jibalah Group, NW Arabian shield: A sedimentologic and geochemical survey and report of possible metazoa in the Dhaiqa formation. Arabian Journal for Science and Engineering, 33, 55–77.</t>
  </si>
  <si>
    <t>Letsch, D., Large, S.J.E., Buechi, M.W., Winkler, W. and von Quadt, A. 2018. Ediacaran glaciations of the west African Craton – Evidence from Morocco. Precambrian Research, 310, 17–38, https://doi.org/10.1016/j.precamres.2018.02.015.</t>
  </si>
  <si>
    <t>Linnemann, U., Pidal, A.P., et al. 2018. A ~565 Ma old glaciation in the Ediacaran of peri-Gondwanan West Africa. International Journal of Earth Sciences, 107, 885–911, https://doi.org/10.1007/s00531-017-1520-7.</t>
  </si>
  <si>
    <t>Linnemann, U., Hofmann, M., et al. 2022. An Upper Ediacaran Glacial Period in Cadomia: the Granville tillite (Armorican Massif) – sedimentology, geochronology and provenance. Geological Magazine, 159, 999–1013, https://doi.org/10.1017/S0016756821001011.</t>
  </si>
  <si>
    <t>Babinski, M., Trindade, R., Alvarenga, C., Boggiani, Liu, D., Santos, R. and Neves, B.B. 2006. Chronology of Neoproterozoic ice ages in central Brazil. Punta del Este, Uruguay, Short Papers, 1.</t>
  </si>
  <si>
    <t>Bingen, B., Griffin, W.L., Torsvik, T.H. and Saeed, A. 2005. Timing of Late Neoproterozoic glaciation on Baltica constrained by detrital zircon geochronology in the Hedmark Group, south-east Norway. Terra Nova, 17, 250–258, https://doi.org/10.1111/j.1365-3121.2005.00609.x.</t>
  </si>
  <si>
    <t>Blein, O., Baudin, T., et al. 2014. Geochronological constraints on the polycyclic magmatism in the Bou Azzer-El Graara inlier (Central Anti-Atlas Morocco). Journal of African Earth Sciences, 99, 287–306, https://doi.org/10.1016/j.jafrearsci.2014.04.021.</t>
  </si>
  <si>
    <t>Bowring, S.A., Grotzinger, J.P., Condon, D.J., Ramezani, J., Newall, M.J. and Allen, P.A. 2007. Geochronologic constraints on the chronostratigraphic framework of the Neoproterozoic Huqf Supergroup, Sultanate of Oman. American Journal of Science, 307, 1097–1145, https://doi.org/10.2475/10.2007.01.</t>
  </si>
  <si>
    <t>Etemad-Saeed, N., Hosseini-Barzi, M., Adabi, M.H., Miller, N.R., Sadeghi, A., Houshmandzadeh, A. and Stockli, D.F. 2016. Evidence for ca. 560 Ma Ediacaran glaciation in the Kahar Formation, central Alborz Mountains, northern Iran. Gondwana Research, 31, 164–183, https://doi.org/10.1016/j.gr.2015.01.005.</t>
  </si>
  <si>
    <t>Figueiredo, M.F. 2010. Quimioestratigrafia isotópica (C, O, S e Sr), geocronologia (Pb-Pb e K-Ar) e proveniência (Sm-Nd) das rochas da Faixa Paraguai Norte, Mato Grosso. text, Universidade de São Paulo., https://doi.org/10.11606/T.44.2010.tde-23012011-172059.</t>
  </si>
  <si>
    <t>Grazhdankin, D.V., Marusin, V.V., Meert, J., Krupenin, M.T. and Maslov, A.V. 2011. Kotlin regional stage in the South Urals. Doklady Earth Sciences, 440, 1222–1226, https://doi.org/10.1134/S1028334X11090170.</t>
  </si>
  <si>
    <t>Inglis, J.D., MacLean, J.S., Samson, S.D., D’Lemos, R.S., Admou, H. and Hefferan, K. 2004. A precise U–Pb zircon age for the Bleïda granodiorite, Anti-Atlas, Morocco: implications for the timing of deformation and terrane assembly in the eastern Anti-Atlas. Journal of African Earth Sciences, 39, 277–283, https://doi.org/10.1016/j.jafrearsci.2004.07.041.</t>
  </si>
  <si>
    <t>Maslov, A., Meert, J., et al. 2013. New Constraints for the Age of Vendian Glacial Deposits (Central Urals). Doklady Earth Sciences, 449, 303–308, https://doi.org/10.1134/S1028334X13030203.</t>
  </si>
  <si>
    <t>Zhou, C., Li, X.-H., Xiao, S., Lan, Z., Ouyang, Q., Guan, C. and Chen, Z. 2017. A new SIMS zircon U–Pb date from the Ediacaran Doushantuo Formation: age constraint on the Weng’an biota. Geological Magazine, 154, 1193–1201, https://doi.org/10.1017/S0016756816001175.</t>
  </si>
  <si>
    <t>Paszkowski et al 2018</t>
  </si>
  <si>
    <t>Paszkowski, M., Kedzior, A. and Shumlyanskyy, L. 2018. Well-preserved Proterozoic pre- and post-Vilchitsy periglacial phenomena on western Baltica paleocontinent. In: Geology and Mineral Resources of Ukraine: 100-Years Anniversary Conference of the Institute of Geology, Mineralogy, and Mineral Resources of National Academy of Sciences, Kiev, Ukraine. 190–191.</t>
  </si>
  <si>
    <t>Paszkowski, M., Budzyń, B., et al. 2021. Detrital zircon U-Pb and Hf constraints on provenance and timing of deposition of the Mesoproterozoic to Cambrian sedimentary cover of the East European Craton, part II: Ukraine. Precambrian Research, 362, 106282, https://doi.org/10.1016/j.precamres.2021.106282.</t>
  </si>
  <si>
    <t>Hebert, C.L., Kaufman, A.J., Penniston-Dorland, S.C. and Martin, A.J. 2010. Radiometric and stratigraphic constraints on terminal Ediacaran (post-Gaskiers) glaciation and metazoan evolution. Precambrian Research, 182, 402–412, https://doi.org/10.1016/j.precamres.2010.07.008.</t>
  </si>
  <si>
    <t>Busch, J.F., Boag, T.H., Sperling, E.A., Rooney, A.D., Feng, X., Moynihan, D.P. and Strauss, J.V. 2023. Integrated Litho-, Chemo- and Sequence Stratigraphy of the Ediacaran Gametrail Formation Across a Shelf-Slope Transect in the Wernecke Mountains, Yukon, Canada. American Journal of Science, 323, 4, https://doi.org/10.2475/001c.74874.</t>
  </si>
  <si>
    <t>Calver, C.R., Crowley, J.L., Wingate, M.T.D., Evans, D.A.D., Raub, T.D. and Schmitz, M.D. 2013. Globally synchronous Marinoan deglaciation indicated by U-Pb geochronology of the Cottons Breccia, Tasmania, Australia. Geology, 41, 1127–1130, https://doi.org/10.1130/G34568.1.</t>
  </si>
  <si>
    <t>Mulder, J.A., Everard, J.L., et al. 2020. Neoproterozoic opening of the Pacific Ocean recorded by multi-stage rifting in Tasmania, Australia. Earth-Science Reviews, 201, 103041, https://doi.org/10.1016/j.earscirev.2019.103041.</t>
  </si>
  <si>
    <t>Bowyer, F.T., Zhuravlev, A.Y., et al. 2023. Implications of an integrated late Ediacaran to early Cambrian stratigraphy of the Siberian Platform, Russia. GSA Bulletin, 135, 2428–2450, https://doi.org/10.1130/B36534.1.</t>
  </si>
  <si>
    <t>Wang, W., Guan, C., et al. 2017. Integrated carbon, sulfur, and nitrogen isotope chemostratigraphy of the Ediacaran Lantian Formation in South China: Spatial gradient, ocean redox oscillation, and fossil distribution. Geobiology, 15, 552–571, https://doi.org/10.1111/gbi.12226.</t>
  </si>
  <si>
    <t>Bowyer, F.T., Uahengo, C.-I., et al. 2023. Constraining the onset and environmental setting of metazoan biomineralization: The Ediacaran Nama Group of the Tsaus Mountains, Namibia. Earth and Planetary Science Letters, 620, 118336, https://doi.org/10.1016/j.epsl.2023.118336.</t>
  </si>
  <si>
    <t>Vickers-Rich, P., Ivantsov, A.Y., et al. 2013. Reconstructing Rangea: new discoveries from the Ediacaran of southern Namibia. Journal of Paleontology, 87, 1–15, https://doi.org/10.1666/12-074R.1.</t>
  </si>
  <si>
    <t>reference_ID</t>
  </si>
  <si>
    <t>reference_short</t>
  </si>
  <si>
    <t>reference_year</t>
  </si>
  <si>
    <t>reference_full</t>
  </si>
  <si>
    <t>Antaq Polymictic Conglomerate</t>
  </si>
  <si>
    <t>Rubtayn Formation; Jibalah Group</t>
  </si>
  <si>
    <t>MEIH</t>
  </si>
  <si>
    <t>Yes</t>
  </si>
  <si>
    <t>NC4</t>
  </si>
  <si>
    <t>★★☆☆☆ diamictite with subrounded to rounded clasts from 3 lithological groups</t>
  </si>
  <si>
    <t>No</t>
  </si>
  <si>
    <t>Baykonur Formation</t>
  </si>
  <si>
    <t>Altaids</t>
  </si>
  <si>
    <t>Ediacaran</t>
  </si>
  <si>
    <t>NC14</t>
  </si>
  <si>
    <t>★★★★☆ diamictite and dropstones with angular to rounded clasts from 3 lithological groups, some of which are facetted or striated</t>
  </si>
  <si>
    <t>Hankalchough</t>
  </si>
  <si>
    <t>Evidence cited for deposits of this glaciation are frost boils; needle ice casts; dropped pebbles; low chemical index of alteration; glacial pavement; diamictite.</t>
  </si>
  <si>
    <t>GEG</t>
  </si>
  <si>
    <t xml:space="preserve">Age given as approximately 560 Ma following regional stratigraphy. </t>
  </si>
  <si>
    <t>Cordillera-type mountain ice sheets</t>
  </si>
  <si>
    <t xml:space="preserve">Possible Hankalchough assignment. </t>
  </si>
  <si>
    <t>Biexibastao Formation</t>
  </si>
  <si>
    <t>Cryogenian</t>
  </si>
  <si>
    <t>Following Zhu &amp; Wang 2011 and additional dates in He et al 2015</t>
  </si>
  <si>
    <t>NC21b</t>
  </si>
  <si>
    <t>★★☆☆☆ diamictite and dropstones with angular to subrounded clasts from 2 lithological groups</t>
  </si>
  <si>
    <t>Billy Springs Formation</t>
  </si>
  <si>
    <t>LEIH</t>
  </si>
  <si>
    <t>ND15</t>
  </si>
  <si>
    <t>★★★☆☆ rhythmite (possibly varves), and diamictite and dropstones with angular to subrounded clasts from 2 lithological groups, some of which are facetted</t>
  </si>
  <si>
    <t>Evidence cited for deposits of this glaciation are dropped pebbles; low chemical index of alteration; diamictite.</t>
  </si>
  <si>
    <t xml:space="preserve">Maximum age constraint from maximum age of the underlying Wonoka Formation. No minimum age constraint. </t>
  </si>
  <si>
    <t>Marine glacial</t>
  </si>
  <si>
    <t>Blon Formation</t>
  </si>
  <si>
    <t>Vilchitsy Group; Vil'chitsy Group</t>
  </si>
  <si>
    <t>Following Francovschi et al 2023; 2024</t>
  </si>
  <si>
    <t>NE24a</t>
  </si>
  <si>
    <t>★★★☆☆ diamictite and lonestones with angular to well-rounded clasts from 3 lithological groups</t>
  </si>
  <si>
    <t>Combined as Vil'chitsy Group. No maximum age constraint. Possibly minimum age constraint from U-Pb zircon date from Ust'Pinega.</t>
  </si>
  <si>
    <t>Boondawari Formation</t>
  </si>
  <si>
    <t>Following Hill et al 2011; glacial units at base of formation; upper parts of formation are likely Ediacaran</t>
  </si>
  <si>
    <t>ND13</t>
  </si>
  <si>
    <t>★★★★☆ rhythmite (possibly varves), and diamictite with clasts of unreported roundness from 4 lithological groups, some of which are facetted or striated</t>
  </si>
  <si>
    <t>Boord Formation</t>
  </si>
  <si>
    <t>Following Hill et al 2011</t>
  </si>
  <si>
    <t>ND11a</t>
  </si>
  <si>
    <t>★★★★☆ diamictite with angular to rounded clasts from 4 lithological groups, some of which are facetted or striated</t>
  </si>
  <si>
    <t>Bradore Formation</t>
  </si>
  <si>
    <t>sub-Cambrian pavement</t>
  </si>
  <si>
    <t>uncertain</t>
  </si>
  <si>
    <t>NF23</t>
  </si>
  <si>
    <t>★☆☆☆☆ grooved surfaces, and diamictite with rounded clasts from one lithological group</t>
  </si>
  <si>
    <t>Glacial erosion surface</t>
  </si>
  <si>
    <t>Bunyeroo Formation</t>
  </si>
  <si>
    <t>ND16c</t>
  </si>
  <si>
    <t>★☆☆☆☆ lonestones with clasts of unreported roundness from one lithological group</t>
  </si>
  <si>
    <t>Gaskiers</t>
  </si>
  <si>
    <t>Evidence cited for deposits of this glaciation are tillite; dropped pebbles; low chemical index of alteration; ice wedges; paleokarst.</t>
  </si>
  <si>
    <t>Maximum age constraint from Rb-Sr isochron on Stuart Shelf equivalent of Bunyeroo Formation. No specified minimum age constraint but noted that it is below the Wonoka Formation.</t>
  </si>
  <si>
    <t>Chameis Gate Member</t>
  </si>
  <si>
    <t>NA23</t>
  </si>
  <si>
    <t>★★★★☆ diamictite and dropstones with angular to rounded clasts from 4 lithological groups</t>
  </si>
  <si>
    <t>Churochnaya Formation</t>
  </si>
  <si>
    <t>Following Sergeev et al 2013; but note that correlation with the Serebryanka Group (Tany and Koyva formations) is also plausible and would make this MEIH; see Chumakov 2011</t>
  </si>
  <si>
    <t>NE28</t>
  </si>
  <si>
    <t>★★★★☆ rhythmically banded shales (possibly varves), and diamictite and dropstones with angular to rounded clasts from 3 lithological groups, some of which are facetted or striated</t>
  </si>
  <si>
    <t>No age constraints given or plotted.</t>
  </si>
  <si>
    <t>Clanzschwitz Formation; Clanzschwitz Group Member 3</t>
  </si>
  <si>
    <t>Age constraints from Linnemann et al 2018. Weesenstein-Clanzschite[sic]-Orellana diamictites grouped together.</t>
  </si>
  <si>
    <t xml:space="preserve">Clanzschwitz and Weesenstein (Muglitz) diamictites grouped. </t>
  </si>
  <si>
    <t>Following detrital zircon dates; younger age up to MEIH also possible</t>
  </si>
  <si>
    <t>ND21</t>
  </si>
  <si>
    <t>★★★★☆ diamictite and dropstones with clasts of unreported roundness from 3 lithological groups, some of which are striated</t>
  </si>
  <si>
    <t>Possible rolled in with the Croles Hill diamictite on Tasmania but this is not made clear.</t>
  </si>
  <si>
    <t>Maximum age unconstrained. Estimate of 600 Ma or 586 Ma to 572 Ma for depositional age. Minimum age from U-Pb zircon.</t>
  </si>
  <si>
    <t>Included in compilation but not assigned to a glacial interval.</t>
  </si>
  <si>
    <t>Croles Hill diamictite</t>
  </si>
  <si>
    <t>Interbedded with volcanic units that are dated</t>
  </si>
  <si>
    <t>ND20b</t>
  </si>
  <si>
    <t>★★★☆☆ diamictite and lonestones with angular to rounded clasts from 3 lithological groups</t>
  </si>
  <si>
    <t>Possibly assigned to Elatina glaciation; age constraints from Calver et al 2004</t>
  </si>
  <si>
    <t xml:space="preserve">Maximum age constraint from 582 ± 4 Ma date of Calver et al 2004. No minimum age constraint. </t>
  </si>
  <si>
    <t>Lowland terrestrial glacial</t>
  </si>
  <si>
    <t>Dey Dey Mudstone</t>
  </si>
  <si>
    <t>ND12</t>
  </si>
  <si>
    <t>★★☆☆☆ dropstones with clasts of unreported roundness from one lithological group</t>
  </si>
  <si>
    <t>Dhaiqa Formation</t>
  </si>
  <si>
    <t>NC3b</t>
  </si>
  <si>
    <t>★★★☆☆ diamictite and dropstones with subrounded to rounded clasts from 3 lithological groups</t>
  </si>
  <si>
    <t>unnamed</t>
  </si>
  <si>
    <t>Age constraints follow Vickers-Rich &amp; Fedonkin 2007 and Miller et al 2008; possible confusion over interpretation of Vickers-Rich &amp; Fedonkin date as being pre-/syn-depositional rather than post-depositional.</t>
  </si>
  <si>
    <t xml:space="preserve">Maximum age constraint from U-Pb date of Vickers-Rich et al 2010. No minimum age constraint provided. </t>
  </si>
  <si>
    <t xml:space="preserve">Possible Bou Azzer assingment. </t>
  </si>
  <si>
    <t>Doushantuo Formation</t>
  </si>
  <si>
    <t>Tindal 2023 implicit</t>
  </si>
  <si>
    <t>Excluded from compilation</t>
  </si>
  <si>
    <t>All</t>
  </si>
  <si>
    <t>Doushantuo glendonites</t>
  </si>
  <si>
    <t>Ediacara Member</t>
  </si>
  <si>
    <t>Periglacial soil</t>
  </si>
  <si>
    <t>Egan Formation</t>
  </si>
  <si>
    <t>Assigned Ediacaran due to poor age constraints; Corkeron 2011 correlation would suggest MEIH</t>
  </si>
  <si>
    <t>ND3b</t>
  </si>
  <si>
    <t>★★★☆☆ small striated surfaces, and diamictite with subangular to subrounded clasts from 2 lithological groups, some of which are facetted or striated</t>
  </si>
  <si>
    <t>Egan</t>
  </si>
  <si>
    <t>Fauquier</t>
  </si>
  <si>
    <t>Age constraint from stromatolite biostratigraphy. Evidence cited for deposits of this glaciation are tillite; dropped pebbles; low chemical index of alteration; paleokarst.</t>
  </si>
  <si>
    <t>Highly uncertaint age; carbon isotope data not helpful; considered post-Marinoan and possibly Ediacaran</t>
  </si>
  <si>
    <t>Possible Fauquier assignment</t>
  </si>
  <si>
    <t>Erga Formation</t>
  </si>
  <si>
    <t>Erga Beds; Yorga Formation; Lower Erga Formation</t>
  </si>
  <si>
    <t>Permafrost boils</t>
  </si>
  <si>
    <t>Esfordi Formation</t>
  </si>
  <si>
    <t>Irania</t>
  </si>
  <si>
    <t>No more precise information available</t>
  </si>
  <si>
    <t>NC10</t>
  </si>
  <si>
    <t>★★★☆☆ diamictite and dropstones with subrounded to rounded clasts from 4 lithological groups</t>
  </si>
  <si>
    <t>Fargoo Formation</t>
  </si>
  <si>
    <t>Following Corkeron 2011</t>
  </si>
  <si>
    <t>ND2</t>
  </si>
  <si>
    <t>★★★★☆ small striated surfaces with chattermarks, and diamictite with subangular to subrounded clasts from 3 lithological groups, some of which are facetted or striated</t>
  </si>
  <si>
    <t>Fauquier Formation</t>
  </si>
  <si>
    <t>Not well constrained</t>
  </si>
  <si>
    <t>NF18b</t>
  </si>
  <si>
    <t>★★☆☆☆ diamictite with angular to rounded clasts from 2 lithological groups</t>
  </si>
  <si>
    <t>Evidence cited for deposits of this glaciation are tillite; dropped pebbles; low chemical index of alteration; paleokarst.</t>
  </si>
  <si>
    <t>Maximum age unconstrained. Minimum age constrained by zircon U-Pb TIMS date on felsic tuff.</t>
  </si>
  <si>
    <t>Pro-glacial fluvial outwash</t>
  </si>
  <si>
    <t>Fersiga Group</t>
  </si>
  <si>
    <t>Fersiga Formation</t>
  </si>
  <si>
    <t>Following Shields-Zhou et al 2011; see also radiometric constraints herein</t>
  </si>
  <si>
    <t>NA3</t>
  </si>
  <si>
    <t>★★★★☆ small striated surfaces, and diamictite with clasts of unreported roundness from 3 lithological groups, some of which are striated</t>
  </si>
  <si>
    <t xml:space="preserve">Maximum age constraint from zircon U-Pb date. Minimum age constraint from Cambrian fossils and whole rock Rb-Sr date. </t>
  </si>
  <si>
    <t>Mountain and terrestrial glacial</t>
  </si>
  <si>
    <t xml:space="preserve">Pourpree l'Ahnet and Fersiga groups combined. </t>
  </si>
  <si>
    <t>Gaskiers Formation</t>
  </si>
  <si>
    <t>NF20</t>
  </si>
  <si>
    <t>★★★★☆ diamictite and dropstones with very angular to well-rounded clasts from 3 lithological groups, some of which are facetted or striated</t>
  </si>
  <si>
    <t>Following age constraints of Pu et al 2016.</t>
  </si>
  <si>
    <t>Cite a 50 cm 'cap carbonate' with d13C values -6 permille to -2 permille in the Harbour Main section and a 20 cm 'cap carbonate' with d13C values -8 permille to -5 permille in the Kitchuses section.</t>
  </si>
  <si>
    <t>Glussk Formation</t>
  </si>
  <si>
    <t>NE24b</t>
  </si>
  <si>
    <t>★★★★☆ varves, and diamictite and dropstones with angular to rounded clasts from 4 lithological groups, some of which are facetted or striated</t>
  </si>
  <si>
    <t>Granville Formation</t>
  </si>
  <si>
    <t>NE19</t>
  </si>
  <si>
    <t>★★★☆☆ diamictite with rounded to well-rounded clasts from 3 lithological groups, some of which are striated</t>
  </si>
  <si>
    <t>Gwna Group</t>
  </si>
  <si>
    <t>Mona Group; Bodorgan Formation</t>
  </si>
  <si>
    <t>Following Schofield et al 2021; possibly Cambro-Ordovician.</t>
  </si>
  <si>
    <t>NF18</t>
  </si>
  <si>
    <t>★★★☆☆ diamictite and dropstones with angular to rounded clasts from 3 lithological groups</t>
  </si>
  <si>
    <t>Maximum age constraint from Rb-Sr whole-rock isochron on underlying metamorphic rock. Minimum age constraint from Rb-Sr whole-rock isochron of 550-560 Ma from metamorphic rock above.</t>
  </si>
  <si>
    <t>Possible Gaskiers assignment.</t>
  </si>
  <si>
    <t>Hankalchough Formation</t>
  </si>
  <si>
    <t>Quruqtagh Group</t>
  </si>
  <si>
    <t>Tarim</t>
  </si>
  <si>
    <t>NC20d</t>
  </si>
  <si>
    <t>★★☆☆☆ diamictite with angular clasts from 3 lithological groups</t>
  </si>
  <si>
    <t xml:space="preserve">Maximum age constraint from termination of Shuram carbon isotope excursion. No minimum age constraint. </t>
  </si>
  <si>
    <t>Terrestrial glacial</t>
  </si>
  <si>
    <t>Helmeth Grits</t>
  </si>
  <si>
    <t>Stretton Shale</t>
  </si>
  <si>
    <t>Tindal 2023 explicit</t>
  </si>
  <si>
    <t xml:space="preserve">Tindal 2023 explicitly rejected in text. </t>
  </si>
  <si>
    <t>Hongtiegou Formation</t>
  </si>
  <si>
    <t>Qaidam</t>
  </si>
  <si>
    <t>Following Wang et al 2021 PrecRes; assumption that deposition was close before fossil-bearing Zhoujieshan Formation</t>
  </si>
  <si>
    <t>NC31</t>
  </si>
  <si>
    <t>☆☆☆☆☆ diamictite with subangular to subrounded clasts from one lithological group</t>
  </si>
  <si>
    <t xml:space="preserve">Age given as approximately 560 Ma. Fossil evidence used to suggest older than 547 Ma in the notes. </t>
  </si>
  <si>
    <t>Terrestrial and marine glacial</t>
  </si>
  <si>
    <t>Hrushka Formation</t>
  </si>
  <si>
    <t>Gruska Formation; Slutsk-Kholonevychi diamictite</t>
  </si>
  <si>
    <t>NE25</t>
  </si>
  <si>
    <t>★☆☆☆☆ diamictite with angular to subangular clasts from 2 lithological groups</t>
  </si>
  <si>
    <t>Huckster Conglomerate</t>
  </si>
  <si>
    <t>Portway Formation</t>
  </si>
  <si>
    <t>Tindal 2023 explicitly rejected in text.</t>
  </si>
  <si>
    <t>Inishowen beds</t>
  </si>
  <si>
    <t>Inishowan beds; Inishowan Boulder Beds; Inishowen Boulder Beds</t>
  </si>
  <si>
    <t>Tindal 2023 rated 0; included here because it as included in other compilations.</t>
  </si>
  <si>
    <t>Poorly constrained except by putative correlation with the Loch na Cille beds. Possibly MEIH or slightly older following radiometric constraints.</t>
  </si>
  <si>
    <t>NE17</t>
  </si>
  <si>
    <t>☆☆☆☆☆ diamictite with clasts of unreported roundness from one lithological group</t>
  </si>
  <si>
    <t xml:space="preserve">No detail provided for age constraints. Loch na Cille and Inishowan beds combined. </t>
  </si>
  <si>
    <t>Inishowan and Loch na Cille beds combined.</t>
  </si>
  <si>
    <t>Iporanga Formation</t>
  </si>
  <si>
    <t>Sao Francisco</t>
  </si>
  <si>
    <t>Poorly constrained; following Campanha et al 2008</t>
  </si>
  <si>
    <t xml:space="preserve">Maximum age constraint from zircon U-Pb SHRIMP date. No minimum age constraint. </t>
  </si>
  <si>
    <t xml:space="preserve">Included in compilation but not assigned to a glacial interval. </t>
  </si>
  <si>
    <t>Ishim River diamictite</t>
  </si>
  <si>
    <t>By regional lithostratigraphic correlation within the Baykonur Formation</t>
  </si>
  <si>
    <t>NC13</t>
  </si>
  <si>
    <t>★★★☆☆ thinly laminated silty shales, and diamictite and lonestones with angular to rounded clasts from 3 lithological groups</t>
  </si>
  <si>
    <t>Izdar Member</t>
  </si>
  <si>
    <t>Ouarzazate Group [but note disctinct from younger Ouarzazate Group deposits]; Aourz Formation; Bou Azzer tillite</t>
  </si>
  <si>
    <t>NA1b</t>
  </si>
  <si>
    <t>★★★☆☆ basement roche moutoneé, and diamictite with very angular to well-rounded clasts from 2 lithological groups, some of which are facetted</t>
  </si>
  <si>
    <t>Includes the Ouarzazate Group but not Izdar Member specifically</t>
  </si>
  <si>
    <t>Includes the Aourz Formation but not the Izdar Member and references Vernhet et al 2012 and Youbi et al 2020</t>
  </si>
  <si>
    <t>Kahar Formation</t>
  </si>
  <si>
    <t>NC11</t>
  </si>
  <si>
    <t>★★★☆☆ small striated surfaces, and diamictite with angular to subrounded clasts from 3 lithological groups</t>
  </si>
  <si>
    <t>Citing Etemad-Saeed et al 2016 for age constraints but plotting an unrecognised ~559 Ma minimum age constraint. Following Etemad-Saeed et al 2016, deposition is dated between 563.1 ± 3.9 Ma to 550.3 ± 3.6 Ma.</t>
  </si>
  <si>
    <t>Maximum age constraint from detrital zircons in underlying formation</t>
  </si>
  <si>
    <t>Possible Bou Azzer assignment</t>
  </si>
  <si>
    <t>Koyva Formation</t>
  </si>
  <si>
    <t>Koiva Formation</t>
  </si>
  <si>
    <t>NE29c</t>
  </si>
  <si>
    <t>★★★☆☆ diamictite and dropstones with clasts of unreported roundness from one lithological group, some of which are striated</t>
  </si>
  <si>
    <t>Maximum age constraint from tuff zircon U-Pb. Minimum age constraint from tuff zircon U-Pb. Combined Tany, Koiva, and Lower Starye Pechi formations; separated here.</t>
  </si>
  <si>
    <t>Combined Tany and Koiva formations; separated here.</t>
  </si>
  <si>
    <t>Kurgashlya Formation</t>
  </si>
  <si>
    <t>Poorly constrained; following Maslov 2004</t>
  </si>
  <si>
    <t>NE30</t>
  </si>
  <si>
    <t>★★★☆☆ diamictite and dropstones with angular to subrounded clasts from 3 lithological groups, some of which are striated</t>
  </si>
  <si>
    <t xml:space="preserve">No age constraint details provided. </t>
  </si>
  <si>
    <t>Landrigan Formation</t>
  </si>
  <si>
    <t>ND3a</t>
  </si>
  <si>
    <t>★★★☆☆ diamictite with angular to subrounded clasts from 3 lithological groups, some of which are facetted or striated</t>
  </si>
  <si>
    <t>Langmarkberg Formation</t>
  </si>
  <si>
    <t>Following Greiling et al 2024 and date in Kumpulainen et al 2021.</t>
  </si>
  <si>
    <t>NE7</t>
  </si>
  <si>
    <t>★★★★☆ small striated surfaces, and diamictite and lonestones with angular to rounded clasts from 4 lithological groups, some of which are facetted or striated</t>
  </si>
  <si>
    <t>Las Ventanas Formation</t>
  </si>
  <si>
    <t>Rio de Plata</t>
  </si>
  <si>
    <t>NG5</t>
  </si>
  <si>
    <t>★★★☆☆ diamictite and lonestones with angular to subrounded clasts from 3 lithological groups, some of which are facetted or striated</t>
  </si>
  <si>
    <t>Maximum age constraint from K-Ar on basalt. Minimum age constraitnt from Ar-Ar on post-collisional plutons.</t>
  </si>
  <si>
    <t>Lillfjället Formation</t>
  </si>
  <si>
    <t>Following Kumpulainen et al 2021</t>
  </si>
  <si>
    <t>NE8</t>
  </si>
  <si>
    <t>★★☆☆☆ diamictite with clasts of unreported roundness from 3 lithological groups, some of which are facetted</t>
  </si>
  <si>
    <t>Lillfjället</t>
  </si>
  <si>
    <t>Citing the conference abstract Kumpulainen et al 2016 which has since been published as Kumpulainen et al 2021</t>
  </si>
  <si>
    <t>Little Burke Tillite</t>
  </si>
  <si>
    <t>ND4a</t>
  </si>
  <si>
    <t>★★★☆☆ diamictite with subrounded to rounded clasts from 3 lithological groups, some of which are facetted or striated</t>
  </si>
  <si>
    <t>Loch na Cille beds</t>
  </si>
  <si>
    <t>Tayvallich Formation</t>
  </si>
  <si>
    <t>Poorly constrained except by putative correlation with the Inishowen beds. Possibly MEIH or slightly older following radiometric constraints.</t>
  </si>
  <si>
    <t>NE16</t>
  </si>
  <si>
    <t>★★☆☆☆ diamictite with clasts of unreported roundness from 3 lithological groups</t>
  </si>
  <si>
    <t>Loch na Cille</t>
  </si>
  <si>
    <t>Age constraints follow Halliday et al 1989 and Dempster et al 2002</t>
  </si>
  <si>
    <t>Luoquan Formation</t>
  </si>
  <si>
    <t>Qinling</t>
  </si>
  <si>
    <t>North China</t>
  </si>
  <si>
    <t>Assumption that deposition was close before fossil-bearing Dongpo Formation</t>
  </si>
  <si>
    <t>NC34</t>
  </si>
  <si>
    <t>★★★★☆ large striated pavements, gravel-sand wedges, varves, and diamictite and dropstones with angular to rounded clasts from 2 lithological groups, some of which are striated</t>
  </si>
  <si>
    <t>Age given as approximately 560 Ma following biostratigraphic and chemostratigraphic constraints. Luoquan and Zhengmuguan formations grouped here.</t>
  </si>
  <si>
    <t xml:space="preserve">Luoquan and Zhengmuguan formations grouped together. </t>
  </si>
  <si>
    <t>Lyamtsa Formation</t>
  </si>
  <si>
    <t>Lamsta Formation; Lyamitsa Formation</t>
  </si>
  <si>
    <t>Mall Bay Formation</t>
  </si>
  <si>
    <t>Marnya Formation</t>
  </si>
  <si>
    <t>NC24</t>
  </si>
  <si>
    <t>★★★★★ 1.5m deep crevasses with breccia, and diamictite and dropstones with clasts of unreported roundness from 4 lithological groups, some of which are facetted or striated</t>
  </si>
  <si>
    <t>Mechum River Formation</t>
  </si>
  <si>
    <t>Following Evans &amp; Raub 2011 and stratigraphy in Wehr &amp; Glover 1985</t>
  </si>
  <si>
    <t>NF18a</t>
  </si>
  <si>
    <t>★★★★☆ diamictite and dropstones with subangular to subrounded clasts from 3 lithological groups, some of which are striated</t>
  </si>
  <si>
    <t>Mentioned in the text but not included in the compilation. Noted as possibly Cryogenian</t>
  </si>
  <si>
    <t>Mistaken Point Formation</t>
  </si>
  <si>
    <t>Moelv Formation</t>
  </si>
  <si>
    <t>Following correlation with Mortensnes Formation which may not be correct; see also Greiling et al 2024</t>
  </si>
  <si>
    <t>NE10</t>
  </si>
  <si>
    <t>★★★★☆ small striated surfaces, single sandstone wedge, and diamictite and lonestones with clasts of unreported roundness from 4 lithological groups</t>
  </si>
  <si>
    <t>Varangerian</t>
  </si>
  <si>
    <t>Following the Re-Os age of 560.6 ± 4.4 Ma date for the underlying Biri Formation from Hannah et al 2008 as stated in the text. However, Youbi et al plot the older 620 ± 14 Ma U-Pb detrital zircon age from Bingen et al 2005.</t>
  </si>
  <si>
    <t>Mentioned in the text but not included in the compilation. Noted as of uncertain Ediacaran or Cryogenian age.</t>
  </si>
  <si>
    <t>Age constraints from U-Pb and Lu-Hf on detrital zircons; no details provided.</t>
  </si>
  <si>
    <t>Mortensnes Formation</t>
  </si>
  <si>
    <t>NE2b</t>
  </si>
  <si>
    <t>★★★☆☆ diamictite with clasts of unreported roundness from 2 lithological groups, some of which are facetted or striated</t>
  </si>
  <si>
    <t>No age constraint details provided.</t>
  </si>
  <si>
    <t>Mount Cornish Formation</t>
  </si>
  <si>
    <t>ND7a</t>
  </si>
  <si>
    <t>★★★★☆ possible varves, and diamictite with clasts of unreported roundness from 4 lithological groups, some of which are facetted or striated</t>
  </si>
  <si>
    <t>Mount Lloyd George Formation</t>
  </si>
  <si>
    <t xml:space="preserve">Following Eisbacher 1981; Smith et al 2011. </t>
  </si>
  <si>
    <t>NF4</t>
  </si>
  <si>
    <t>★★★☆☆ diamictite and dropstones with clasts of unreported roundness from 3 lithological groups, some of which are striated</t>
  </si>
  <si>
    <t>Muglitz Formation</t>
  </si>
  <si>
    <t>Weesenstein tillite; Seidewitz Formation</t>
  </si>
  <si>
    <t>NE21</t>
  </si>
  <si>
    <t>★★★☆☆ possible varves, and diamictite and dropstones with angular to rounded clasts from 2 lithological groups, some of which are facetted</t>
  </si>
  <si>
    <t>Weesenstein-Orellana/Cadomian</t>
  </si>
  <si>
    <t>Age constraints follow uncertainty of Linnemann et al 2018, though uncertain exactly which date(s) chosen for plot.</t>
  </si>
  <si>
    <t>Naburula Formation</t>
  </si>
  <si>
    <t>Following Hill et al 2021</t>
  </si>
  <si>
    <t>ND8a</t>
  </si>
  <si>
    <t>★★★★☆ diamictite with rounded clasts from 4 lithological groups, some of which are facetted or striated</t>
  </si>
  <si>
    <t>Numees Formation</t>
  </si>
  <si>
    <t>NA22b</t>
  </si>
  <si>
    <t>★★★★☆ possible varves, and diamictite and dropstones with subrounded clasts from 4 lithological groups</t>
  </si>
  <si>
    <t xml:space="preserve">No maximum age constraint. Minimum age constraint from overlying ("cap") carbonate Pb-Pb date. </t>
  </si>
  <si>
    <t>Oorabra Formation</t>
  </si>
  <si>
    <t>Following Hill et al 2011; Kruse et al 2013</t>
  </si>
  <si>
    <t>ND9b</t>
  </si>
  <si>
    <t>Orellana Formation</t>
  </si>
  <si>
    <t>Orellana tillite</t>
  </si>
  <si>
    <t>NE20</t>
  </si>
  <si>
    <t>★★☆☆☆ diamictite and dropstones with clasts of unreported roundness from one lithological group, some of which are facetted</t>
  </si>
  <si>
    <t>Ouarzazate Group</t>
  </si>
  <si>
    <t>Included as Izdar Member but these are separated here.</t>
  </si>
  <si>
    <t>Age follows Inglis et al 2004 dating of Bleida granodiorite (579.4 ± 1.2 Ma) and Youbi et al 2020 dating of Ouarzazate Group rhyodacite BP13 of 578.6 ± 4.8 Ma.</t>
  </si>
  <si>
    <t xml:space="preserve">Maximum and minimum age constraints from U-Pb zircons. </t>
  </si>
  <si>
    <t>Playa Hermosa Formation</t>
  </si>
  <si>
    <t>Paraguay Belt</t>
  </si>
  <si>
    <t>NG7</t>
  </si>
  <si>
    <t>★★★☆☆ rhythmite (possibly varves), and diamictite and dropstones with angular to subrounded clasts from 3 lithological groups</t>
  </si>
  <si>
    <t>Pourpree de l'Ahnet Group</t>
  </si>
  <si>
    <t>Poorly constrained</t>
  </si>
  <si>
    <t>NA4ab</t>
  </si>
  <si>
    <t>★★★★☆ varves, and diamictite and dropstones with angular to rounded clasts from 3 lithological groups, some of which are facetted or striated</t>
  </si>
  <si>
    <t xml:space="preserve">Maximum age constraint from U-Pb and Rb-Sr dating of granites. Minimum age constraint from tuff U-Pb and Ar-Ar dates. </t>
  </si>
  <si>
    <t>Rang Formation</t>
  </si>
  <si>
    <t>Dzetymtay Formation; Ran Formation</t>
  </si>
  <si>
    <t>NC17</t>
  </si>
  <si>
    <t>★★★☆☆ rhythmically laminated siltstones and sandstones (possibly varves), and diamictite with angular to rounded clasts from 4 lithological groups</t>
  </si>
  <si>
    <t xml:space="preserve">Possible Gaskiers assignment. </t>
  </si>
  <si>
    <t>Rockfish Conglomerate</t>
  </si>
  <si>
    <t>Lynchburg Group</t>
  </si>
  <si>
    <t>NF17</t>
  </si>
  <si>
    <t>★★★☆☆ rhythmite (possibly varves), and diamictite and dropstones with clasts of unreported roundness from one lithological group</t>
  </si>
  <si>
    <t>Serra Azul Unit A</t>
  </si>
  <si>
    <t>Amazonia</t>
  </si>
  <si>
    <t>Tentative assignment within large uncertainty of dates</t>
  </si>
  <si>
    <t>NG3b</t>
  </si>
  <si>
    <t>★★★★☆ rhythmites with tidal bundles, and diamictite with very angular to well-rounded clasts from 4 lithological groups, some of which are facetted or striated</t>
  </si>
  <si>
    <t>No age constraint details provided. No minimum age constraint.</t>
  </si>
  <si>
    <t>Palaeovalleys</t>
  </si>
  <si>
    <t>Shaohuotong Formation</t>
  </si>
  <si>
    <t>Shaohuotonggou Group</t>
  </si>
  <si>
    <t>Possibly older than 593 Ma following Tindal 2023.</t>
  </si>
  <si>
    <t>NC32</t>
  </si>
  <si>
    <t>Sliding Stones Slump Breccia</t>
  </si>
  <si>
    <t>Sliding Stones Breccia</t>
  </si>
  <si>
    <t>South Quarry Breccia</t>
  </si>
  <si>
    <t>Beacon Hill Formation</t>
  </si>
  <si>
    <t>NF19</t>
  </si>
  <si>
    <t>★★★★☆ possible varves, and diamictite and lonestones with angular to subrounded clasts from 4 lithological groups, some of which are striated</t>
  </si>
  <si>
    <t>Following age constraints of Thompson &amp; Bowring 2000 and Thompson et al 2014</t>
  </si>
  <si>
    <t>Maximum age from U-Pb date on tuff clast in diamictite. Minimum age given as ~570 Ma or younger?</t>
  </si>
  <si>
    <t>Deep marine</t>
  </si>
  <si>
    <t>Starye Pechi Formation</t>
  </si>
  <si>
    <t>NE29d</t>
  </si>
  <si>
    <t>★★★☆☆ diamictite and dropstones with clasts of unreported roundness from 2 lithological groups, some of which are striated</t>
  </si>
  <si>
    <t>Combined Starye Pechi and Sylvitsa Group; separated here and Sylvitsa Group not considered to be plausibly Gaskiers in age.</t>
  </si>
  <si>
    <t>Storeelv Formation</t>
  </si>
  <si>
    <t>Following Stouge et al 2011</t>
  </si>
  <si>
    <t>NF26b</t>
  </si>
  <si>
    <t>★★★★☆ small striated surfaces, and diamictite and dropstones with angular to rounded clasts from 4 lithological groups, some of which are striated</t>
  </si>
  <si>
    <t>Talisayi Formation</t>
  </si>
  <si>
    <t>NC21c</t>
  </si>
  <si>
    <t>★★★★☆ diamictite and dropstones with angular to rounded clasts from 3 lithological groups, some of which are striated</t>
  </si>
  <si>
    <t>Tany Formation</t>
  </si>
  <si>
    <t>NE29ab</t>
  </si>
  <si>
    <t>★★★★☆ diamictite and dropstones with clasts of unreported roundness from 4 lithological groups, some of which are striated (upper member). ★★☆☆☆ diamictite and dropstones with clasts of unreported roundness from one lithological group (lower member).</t>
  </si>
  <si>
    <t>Maximum age constraint from tuff zircon U-Pb. Minimum age constraint from tuff zircon U-Pb. Combined Tany, Koyva, and Lower Starye Pechi formations; separated here.</t>
  </si>
  <si>
    <t>Combined Tany and Koyva formations; separated here.</t>
  </si>
  <si>
    <t>Tiddiline Group</t>
  </si>
  <si>
    <t>NA1a</t>
  </si>
  <si>
    <t>★★★☆☆ possible varves, and diamictite with angular to rounded clasts from 2 lithological groups, some of which are facetted or striated</t>
  </si>
  <si>
    <t>Age constraints cite Letsch et al 2018</t>
  </si>
  <si>
    <t>Possibly but not explicitly included in Ouarzazate Group sediments.</t>
  </si>
  <si>
    <t>Maximum and minimum age constraints from U-Pb zircons.</t>
  </si>
  <si>
    <t>Tillery Formation</t>
  </si>
  <si>
    <t>NF21</t>
  </si>
  <si>
    <t>★★★★☆ diamictite and dropstones with well-rounded clasts from 3 lithological groups, some of which are striated</t>
  </si>
  <si>
    <t>Following age constraints of Pu et al 2016</t>
  </si>
  <si>
    <t>Ulveso Formation</t>
  </si>
  <si>
    <t>NF26a</t>
  </si>
  <si>
    <t>★★★☆☆ diamictite with angular to subrounded clasts from one lithological group, some of which are striated</t>
  </si>
  <si>
    <t>Vingerbreek Member</t>
  </si>
  <si>
    <t>Vingerbreek Unconformity; Nudaus Formation</t>
  </si>
  <si>
    <t>NA24</t>
  </si>
  <si>
    <t>★★★☆☆ a small gouged surface, and diamictite with clasts of unreported roundness from one lithological group, some of which are facetted or striated</t>
  </si>
  <si>
    <t>Identified as post-Gaskiers but no other age constraints given</t>
  </si>
  <si>
    <t xml:space="preserve">Maximum age constraint from underlying Zaris Formation tuff zircon U-Pb date. No minimum age constraint. </t>
  </si>
  <si>
    <t>Wegleszyn Tilloid</t>
  </si>
  <si>
    <t>Following Brochwicz-Lewinski 1981.</t>
  </si>
  <si>
    <t>NE23</t>
  </si>
  <si>
    <t>★★☆☆☆ diamictite and lonestones with rounded clasts from 3 lithological groups</t>
  </si>
  <si>
    <t>Weija Tillite</t>
  </si>
  <si>
    <t>Togo Formation</t>
  </si>
  <si>
    <t>Congo</t>
  </si>
  <si>
    <t>Following Trompette 1981</t>
  </si>
  <si>
    <t>NA12</t>
  </si>
  <si>
    <t>Wonoka Formation</t>
  </si>
  <si>
    <t>Xichangjing Formation</t>
  </si>
  <si>
    <t>Yardida Formation</t>
  </si>
  <si>
    <t>ND9a</t>
  </si>
  <si>
    <t>★★★★☆ diamictite with rounded to well-rounded clasts from 4 lithological groups, some of which are facetted or striated</t>
  </si>
  <si>
    <t>Zabit Formation</t>
  </si>
  <si>
    <t>Bokson Group; Bokson diamictite</t>
  </si>
  <si>
    <t>NC25</t>
  </si>
  <si>
    <t>★★★★☆ rhythmically bedded shales (possibly varves), and diamictite and dropstones with subangular to rounded clasts from 3 lithological groups, some of which are facetted or striated</t>
  </si>
  <si>
    <t xml:space="preserve">Age given as approximately 560 Ma following biostratigraphic and lithostratigraphic constraints. Note that stated biostratigraphic constraint = Cloudina in diamictite matrix which would generally imply an age &lt;550 Ma. </t>
  </si>
  <si>
    <t>Zhengmuguan Formation</t>
  </si>
  <si>
    <t>Zhengmugan Formation</t>
  </si>
  <si>
    <t>Assumption that deposition was close before fossil-bearing Tuerkeng Formation</t>
  </si>
  <si>
    <t>NC30</t>
  </si>
  <si>
    <t>★★☆☆☆ diamictite and dropstones with rounded clasts from 2 lithological groups</t>
  </si>
  <si>
    <t>Included in text alongside Luoquan diamictite.</t>
  </si>
  <si>
    <t>Zukow Formation</t>
  </si>
  <si>
    <t>NE22</t>
  </si>
  <si>
    <t>★★☆☆☆ diamictite with subangular to rounded clasts from 2 lithological groups, some of which are facetted</t>
  </si>
  <si>
    <t>Gaskiers diamictite</t>
  </si>
  <si>
    <t>Diamictite &gt;250 m thick at the St Mary's Bay section</t>
  </si>
  <si>
    <t>Diamictite &gt;30 m at Old Bonaventure</t>
  </si>
  <si>
    <t>Diamictite is 184 m thick here</t>
  </si>
  <si>
    <t>Broad spread of youngest five grains - could be as young as 551 Ma unless there is some Pb loss here</t>
  </si>
  <si>
    <t>lonestones</t>
  </si>
  <si>
    <t>glacial</t>
  </si>
  <si>
    <t>csl_type</t>
  </si>
  <si>
    <t>section_name</t>
  </si>
  <si>
    <t>deposit_name</t>
  </si>
  <si>
    <t>csl_occurrence_id</t>
  </si>
  <si>
    <t>deposit_id</t>
  </si>
  <si>
    <t>section_id</t>
  </si>
  <si>
    <t>d13c_excursion</t>
  </si>
  <si>
    <t>d13c_excursion_position</t>
  </si>
  <si>
    <t>sample_group</t>
  </si>
  <si>
    <t>sample_subgroup</t>
  </si>
  <si>
    <t>sample_formation</t>
  </si>
  <si>
    <t>sample_member</t>
  </si>
  <si>
    <t>sample_unit</t>
  </si>
  <si>
    <t>sample_bed</t>
  </si>
  <si>
    <t>reference1</t>
  </si>
  <si>
    <t>reference2</t>
  </si>
  <si>
    <t>reference3</t>
  </si>
  <si>
    <t>reference4</t>
  </si>
  <si>
    <t>deposit_synonyms_correlatives</t>
  </si>
  <si>
    <t>deposit_type</t>
  </si>
  <si>
    <t>craton</t>
  </si>
  <si>
    <t>likely_interval</t>
  </si>
  <si>
    <t>likely_interval_notes</t>
  </si>
  <si>
    <t>tindal_2023_included</t>
  </si>
  <si>
    <t>tindal_2023_id</t>
  </si>
  <si>
    <t>tindal_2023_age_max</t>
  </si>
  <si>
    <t>tindal_2023_age_max_unc</t>
  </si>
  <si>
    <t>tindal_2023_age_min</t>
  </si>
  <si>
    <t>tindal_2023_age_min_unc</t>
  </si>
  <si>
    <t>tindal_2023_evidence</t>
  </si>
  <si>
    <t>tindal_2023_notes</t>
  </si>
  <si>
    <t>youbi_2020_included</t>
  </si>
  <si>
    <t>youbi_2020_glaciation</t>
  </si>
  <si>
    <t>youbi_2020_age_max</t>
  </si>
  <si>
    <t>youbi_2020_age_min</t>
  </si>
  <si>
    <t>youbi_2020_notes</t>
  </si>
  <si>
    <t>retallack_2022_included</t>
  </si>
  <si>
    <t>retallack_2022_glaciation</t>
  </si>
  <si>
    <t>retallack_2022_age_max</t>
  </si>
  <si>
    <t>retallack_2022_age_min</t>
  </si>
  <si>
    <t>retallack_2022_notes</t>
  </si>
  <si>
    <t>wang_2023_included</t>
  </si>
  <si>
    <t>wang_2023_id</t>
  </si>
  <si>
    <t>wang_2023_age_max</t>
  </si>
  <si>
    <t>wang_2023_age_max_unc</t>
  </si>
  <si>
    <t>wang_2023_age_min</t>
  </si>
  <si>
    <t>wang_2023_age_min_unc</t>
  </si>
  <si>
    <t>wang_2023_glaciation</t>
  </si>
  <si>
    <t>wang_2023_notes</t>
  </si>
  <si>
    <t>niu_2024_included</t>
  </si>
  <si>
    <t>niu_2024_id</t>
  </si>
  <si>
    <t>niu_2024_facies</t>
  </si>
  <si>
    <t>niu_2024_glaciation</t>
  </si>
  <si>
    <t>niu_2024_age_max</t>
  </si>
  <si>
    <t>niu_2024_age_min</t>
  </si>
  <si>
    <t>niu_2024_notes</t>
  </si>
  <si>
    <t>limestone</t>
  </si>
  <si>
    <t>Cambrian</t>
  </si>
  <si>
    <t>Wilpena</t>
  </si>
  <si>
    <t>Dongpo</t>
  </si>
  <si>
    <t>upper Dongpo</t>
  </si>
  <si>
    <t>Tuerkeng</t>
  </si>
  <si>
    <t>Quanji</t>
  </si>
  <si>
    <t>Zhoujieshan</t>
  </si>
  <si>
    <t>upper Zhoujieshan</t>
  </si>
  <si>
    <t>Kushk</t>
  </si>
  <si>
    <t>Ibor</t>
  </si>
  <si>
    <t>Villarta</t>
  </si>
  <si>
    <t>Vestertana</t>
  </si>
  <si>
    <t>Stahpogieddi</t>
  </si>
  <si>
    <t>Indreelva</t>
  </si>
  <si>
    <t>supergroup</t>
  </si>
  <si>
    <t>group</t>
  </si>
  <si>
    <t>subgroup</t>
  </si>
  <si>
    <t>formation</t>
  </si>
  <si>
    <t>member</t>
  </si>
  <si>
    <t>unit</t>
  </si>
  <si>
    <t>reference5</t>
  </si>
  <si>
    <t>reference6</t>
  </si>
  <si>
    <t>reference7</t>
  </si>
  <si>
    <t>reference8</t>
  </si>
  <si>
    <t>Wonoka</t>
  </si>
  <si>
    <t>Shuram</t>
  </si>
  <si>
    <t>Bunyeroo</t>
  </si>
  <si>
    <t>Ediacaran &gt;575 Ma from later sill intrusion</t>
  </si>
  <si>
    <t>Local correlation with Croles Hill diamictite suggests the pair are bracketed within Gaskiers age</t>
  </si>
  <si>
    <t>Zircon U-Pb ion microprobe date from basic gabbroic cumulate sill intruding the diamictite</t>
  </si>
  <si>
    <t>Mid-Ediacaran &lt;582 Ma from underlying rhyolite</t>
  </si>
  <si>
    <t>Zircon U-Pb ion microprobe date from rhyodacite underlying the diamictite</t>
  </si>
  <si>
    <t>Local correlation with Gaskiers type section</t>
  </si>
  <si>
    <t>Ash bed zircon U-Pb CA-ID-TIMS sample OBJP-01 Rocky Harbour Formation circa 50 m above the diamictite</t>
  </si>
  <si>
    <t>U-Pb CA-ID-TIMS sample OBJP-03 Rocky Harbour Formation from zircons within the purple diamictite</t>
  </si>
  <si>
    <t>Ash bed zircon U-Pb CA-ID-TIMS sample B1552-42.2 Rocky Harbour Formation close under the diamictite</t>
  </si>
  <si>
    <t>Gaskiers type section</t>
  </si>
  <si>
    <t xml:space="preserve">Ash bed zircon U-Pb CA-ID-TIMS sample NoP-0.9 Drook Formation close over the diamictite </t>
  </si>
  <si>
    <t xml:space="preserve">Ash bed zircon U-Pb CA-ID-TIMS sample GCI-neg7.75 Mall Bay Formation close under the diamictite </t>
  </si>
  <si>
    <t xml:space="preserve">Ash bed zircon U-Pb CA-ID-TIMS sample GCI-neg6.55 Mall Bay Formation close under the diamictite </t>
  </si>
  <si>
    <t>CIE</t>
  </si>
  <si>
    <t>Bentonite zircon U-Pb CA-ID-TIMS date</t>
  </si>
  <si>
    <t>Detrital zircon U-Pb date from palaeosol developed on rhyodacitic tuff</t>
  </si>
  <si>
    <t>Tuff zircon U-Pb CA-ID-TIMS date</t>
  </si>
  <si>
    <t>Same as sample Otaci-1</t>
  </si>
  <si>
    <t>Same as sample Moh-1</t>
  </si>
  <si>
    <t>Three nearby samples combined to give weighted average age</t>
  </si>
  <si>
    <t>Three samples from same bentonite combined zircon U-Pb CA-ID-TIMS date</t>
  </si>
  <si>
    <t>Detrital zircon U-Pb date from mudstone in upper Lyadova Beds</t>
  </si>
  <si>
    <t>Detrital zircon U-Pb date from base of palaeosol</t>
  </si>
  <si>
    <t>Tuff zircon U-Pb CA-ID-TIMS date underlying diamictite</t>
  </si>
  <si>
    <t>Ediacaran 593 to 575 Ma</t>
  </si>
  <si>
    <t>Tiddiline diamictite</t>
  </si>
  <si>
    <t>Granite zircon U-Pb SHRIMP date from intrusion cross-cutting succession above Tiddiline/Bou Azzer diamictite regionally</t>
  </si>
  <si>
    <t>Mid Ediacaran likely Gaskiers</t>
  </si>
  <si>
    <t>Ash bed zircon Pb-Pb date from youngest concordant analysis in the sample with the possibility that this sample is younger</t>
  </si>
  <si>
    <t>Zircon Pb-Pb date with suggestion of some Pb loss from detrital zircon in Cambridge Argillite</t>
  </si>
  <si>
    <t>Youngest two detrital zircon weighted mean Pb-Pb age from the Squantum diamictite</t>
  </si>
  <si>
    <t>Zircon Pb-Pb date confirmed with Pb-U 235 and 238 dates on welded tuff clast within diamictite</t>
  </si>
  <si>
    <t>Zircon U-Pb date from crystal-poor tuff clast in diamictite supported by overlapping Pb-Pb date</t>
  </si>
  <si>
    <t>Zircon Pb-Pb date from porphyritic granophyre clast in diamictite</t>
  </si>
  <si>
    <t>Age refines that of Miller et al 2008 and confirms a post-Gaskiers deposition of the diamictite</t>
  </si>
  <si>
    <t>Zircon U-Pb date from ash bed in section 8 unit c circa 3m below the diamictite horizon e</t>
  </si>
  <si>
    <t>Deposit definitely younger than 599 Ma and possibly younger than 570 Ma</t>
  </si>
  <si>
    <t>U-Pb SHRIMP analyses on detrital zircon rim from green fine-grained sandstone within limestone sequence and below polymict conglomerate</t>
  </si>
  <si>
    <t>U-Pb SHRIMP analyses on detrital zircon core from green fine-grained sandstone within limestone sequence and below polymict conglomerate</t>
  </si>
  <si>
    <t>Zircon U-Pb CA-ID-TIMS date from diamictite sample</t>
  </si>
  <si>
    <t>Zircon U-Pb CA-ID-TIMS date from igneous zircon in ignimbrite from youngest single grain</t>
  </si>
  <si>
    <t>Zircon U-Pb CA-ID-TIMS date from diamictite sample from youngest single grain</t>
  </si>
  <si>
    <t>Zircon U-Pb LA-ICP-MS date from igneous zircon in ignimbrite</t>
  </si>
  <si>
    <t>Zircon U-Pb CA-ID-TIMS date from diamictite with possible reworking from youngest single grain</t>
  </si>
  <si>
    <t>Zircon U-Pb LA-ICP-MS from underlying quartzite</t>
  </si>
  <si>
    <t>Zircon U-Pb LA-ICP-MS from diamictite matrix</t>
  </si>
  <si>
    <t>Zircon U-Pb LA-ICP-MS from diamictite granitoid clast</t>
  </si>
  <si>
    <t>Zircon U-Pb LA-ICP-MS from intruded Dohna granodiorite</t>
  </si>
  <si>
    <t>Ediacaran &lt;562 Ma</t>
  </si>
  <si>
    <t>Detrital zircon LA-ICP-MS U-Pb age younger than overlying detrital zircons</t>
  </si>
  <si>
    <t>Detrital zircon LA-ICP-MS U-Pb age older than underlying detrital zircons</t>
  </si>
  <si>
    <t>Detrital zircon LA-ICP-MS U-Pb age from detrital zircon provides a minimum age for the upper tillite</t>
  </si>
  <si>
    <t>Post-depositional Pb-Pb date</t>
  </si>
  <si>
    <t>Ediacaran &lt;620 Ma</t>
  </si>
  <si>
    <t>Detrital U-Pb zircon date supported by Lu-Hf dates in underlying Rendalen Fm</t>
  </si>
  <si>
    <t>Unconformably overlies sample ALDG21</t>
  </si>
  <si>
    <t>Rhyolitic welded tuff zircon U-Pb SHRIMP date</t>
  </si>
  <si>
    <t>Unconformably underlies sample ALDG20</t>
  </si>
  <si>
    <t>volcanic breccia</t>
  </si>
  <si>
    <t>Volcanic breccia zircon U-Pb SHRIMP date</t>
  </si>
  <si>
    <t>Ignimbrite zircon U-Pb SHRIMP date</t>
  </si>
  <si>
    <t>Ediacaran ~560 Ma</t>
  </si>
  <si>
    <t>Zircon U-Pb LA-ICP-MS from sandstone detrital grains</t>
  </si>
  <si>
    <t>Babinski et al 2006 from Puga diamictite cap carbonate cited in Figueiredo 2010</t>
  </si>
  <si>
    <t>Additional dates with poor uncertainty are consistent with this sample</t>
  </si>
  <si>
    <t>Zircon U-Pb from volcanic tuff</t>
  </si>
  <si>
    <t>Granodiorite zircon U-Pb date from intrusion that is not observed to cross-cut the Tiddiline Group but is thought from regional structure to be younger than the Tiddiline diamictite</t>
  </si>
  <si>
    <t>Starye Pechi</t>
  </si>
  <si>
    <t>Zircon U-Pb LA-ICP-MS from alkali basalt</t>
  </si>
  <si>
    <t>Shuiquan</t>
  </si>
  <si>
    <t>Sandstone lense 1 m below top of diamictite</t>
  </si>
  <si>
    <t>Zircon U-Pb ion microprobe date from detrital zircons in sandstone lens near the top of the diamictite</t>
  </si>
  <si>
    <t>Dolomitised clast 0.5 m below top of diamictite</t>
  </si>
  <si>
    <t>Zircon U-Pb ion microprobe date from detrital zircons in dolomitised sediment near top of diamictite</t>
  </si>
  <si>
    <t>Pebbly sandstone ~1 m below top of diamictite</t>
  </si>
  <si>
    <t>Zircon U-Pb ion microprobe date from detrital zircons in pebbly sandstone diamictite</t>
  </si>
  <si>
    <t>Dolomitic sandstone near top of diamictite grading into cap carbonate</t>
  </si>
  <si>
    <t>Zircon U-Pb ion microprobe date from detrital zircons in dolomitic sandstone at top of diamictite</t>
  </si>
  <si>
    <t>Zircon U-Pb CA-ID-TIMS date from detrital zircons in dolomitic sandstone at top of diamictite</t>
  </si>
  <si>
    <t>sample_id</t>
  </si>
  <si>
    <t>Baykonur</t>
  </si>
  <si>
    <t>Chumakov 2011</t>
  </si>
  <si>
    <t>Wilcolo Creek</t>
  </si>
  <si>
    <t>Webb et al 1983</t>
  </si>
  <si>
    <t>Haines 1986</t>
  </si>
  <si>
    <t>Compston et al 1987</t>
  </si>
  <si>
    <t>Young 1995</t>
  </si>
  <si>
    <t>Wallace et al 1996</t>
  </si>
  <si>
    <t>Gostin et al 2010</t>
  </si>
  <si>
    <t>Williams &amp; Schmidt 2018</t>
  </si>
  <si>
    <t>Williams &amp; Schmidt 2021</t>
  </si>
  <si>
    <t>Parachilna Gorge</t>
  </si>
  <si>
    <t>Croles Hill</t>
  </si>
  <si>
    <t>Brown 1986a</t>
  </si>
  <si>
    <t>Brown 1986b</t>
  </si>
  <si>
    <t>Crawford &amp; Berry 1992</t>
  </si>
  <si>
    <t>Everard et al 2007</t>
  </si>
  <si>
    <t>Munta-1</t>
  </si>
  <si>
    <t>Officer Basin</t>
  </si>
  <si>
    <t>Ungoolya</t>
  </si>
  <si>
    <t>Dey Dey</t>
  </si>
  <si>
    <t>Murnaroo-1</t>
  </si>
  <si>
    <t>Lincoln Quadrangle</t>
  </si>
  <si>
    <t>Northern Virginia</t>
  </si>
  <si>
    <t>Lynchburg</t>
  </si>
  <si>
    <t>Wehr &amp; Glover 1985</t>
  </si>
  <si>
    <t>Marshall Quadrangle</t>
  </si>
  <si>
    <t>Eyles &amp; Eyles 1989</t>
  </si>
  <si>
    <t>Carto &amp; Eyles 2011a</t>
  </si>
  <si>
    <t>Fitzgerald et al 2024</t>
  </si>
  <si>
    <t>Great Colinet Island</t>
  </si>
  <si>
    <t>North Point Bay</t>
  </si>
  <si>
    <t>Inishowen Peninsula</t>
  </si>
  <si>
    <t>Southern Highlands</t>
  </si>
  <si>
    <t>Dalradian</t>
  </si>
  <si>
    <t>Inishowan beds</t>
  </si>
  <si>
    <t>Condon &amp; Prave 2000</t>
  </si>
  <si>
    <t>McCay et al 2006</t>
  </si>
  <si>
    <t>Chumakov 2007</t>
  </si>
  <si>
    <t>Prave &amp; Fallick 2011</t>
  </si>
  <si>
    <t>Biser</t>
  </si>
  <si>
    <t>Koyva</t>
  </si>
  <si>
    <t>Burgueno Quarry</t>
  </si>
  <si>
    <t>Maldonado</t>
  </si>
  <si>
    <t>Las Ventanas</t>
  </si>
  <si>
    <t>Sanchez Bettucci &amp; Linares 1996</t>
  </si>
  <si>
    <t>Blanco &amp; Gaucher 2005</t>
  </si>
  <si>
    <t>Oyhantcabal et al 2006</t>
  </si>
  <si>
    <t>Gaucher et al 2008</t>
  </si>
  <si>
    <t>Poire &amp; Gaucher 2009</t>
  </si>
  <si>
    <t>Pecoits et al 2011</t>
  </si>
  <si>
    <t>CUCPSA Quarry</t>
  </si>
  <si>
    <t>Tayvallich Peninsula</t>
  </si>
  <si>
    <t>upper Mall Bay</t>
  </si>
  <si>
    <t>Mortensnes</t>
  </si>
  <si>
    <t>Rice et al 2011</t>
  </si>
  <si>
    <t>Marzagao</t>
  </si>
  <si>
    <t>Alvarenga et al 2007</t>
  </si>
  <si>
    <t>Figuerido 2010</t>
  </si>
  <si>
    <t>Figuerido et al 2011</t>
  </si>
  <si>
    <t>McGee et al 2013</t>
  </si>
  <si>
    <t>McGee et al 2015</t>
  </si>
  <si>
    <t>Quincy Bay</t>
  </si>
  <si>
    <t>Boston Basin</t>
  </si>
  <si>
    <t>Roxbury Conglomerate; Squantum tillite</t>
  </si>
  <si>
    <t>Sayles 1914</t>
  </si>
  <si>
    <t>Dott 1961</t>
  </si>
  <si>
    <t>Tierney et al 1968</t>
  </si>
  <si>
    <t>Socci &amp; Smith 1990</t>
  </si>
  <si>
    <t>Thompson et al 2007</t>
  </si>
  <si>
    <t>Carto &amp; Eyles 2012</t>
  </si>
  <si>
    <t>Guozigou-Keguqing</t>
  </si>
  <si>
    <t>Kailaktik</t>
  </si>
  <si>
    <t>Talysayi Formation</t>
  </si>
  <si>
    <t>Wang et al 1983</t>
  </si>
  <si>
    <t>Zhu &amp; Wang 2011</t>
  </si>
  <si>
    <t>He et al 2014</t>
  </si>
  <si>
    <t>Anti-Atlas Mountains</t>
  </si>
  <si>
    <t>Timzioura</t>
  </si>
  <si>
    <t>Trinity Bay</t>
  </si>
  <si>
    <t>Trinity facies</t>
  </si>
  <si>
    <t>Normore 2011</t>
  </si>
  <si>
    <t>Trinity Pond</t>
  </si>
  <si>
    <t>Cat Cove</t>
  </si>
  <si>
    <t>Zhao et al 1984</t>
  </si>
  <si>
    <t>Hanshan West</t>
  </si>
  <si>
    <t>PIII</t>
  </si>
  <si>
    <t>composite_section_id</t>
  </si>
  <si>
    <t>composite_section_name</t>
  </si>
  <si>
    <t>Al-Husseini 2011</t>
  </si>
  <si>
    <t>Al-Husseini, M.I. 2014. Proposed correlation of Oman’s Abu Mahara Supergroup and Saudi Arabia’s Jibalah Group. GeoArabia, 19, 17–48, https://doi.org/10.2113/geoarabia190217.</t>
  </si>
  <si>
    <t>Hibbard, J., McMenamin, M., et al. 2006. Significance of a new Ediacaran fossil find in the Carolina Terrane of North Carolina. Geological Society of America Abstracts with Programs. 2006b, 38, 91.</t>
  </si>
  <si>
    <t>Hibbard, J.P., Pollock, J.C., Brennan, M., Samson, S.D. and Secor, D. 2009. Significance of New Ediacaran Fossils and U‐Pb Zircon Ages from the Albemarle Group, Carolina Terrane of North Carolina. The Journal of Geology, 117, 487–498, https://doi.org/10.1086/600863.</t>
  </si>
  <si>
    <t>Weaver, P.G., McMenamin, M.A.S. and Tacker, R.C. 2006. Paleoenvironmental and paleobiogeographic implications of a new Ediacaran body fossil from the Neoproterozoic Carolina Terrane, Stanly County, North Carolina. Precambrian Research, 150, 123–135, https://doi.org/10.1016/j.precamres.2006.07.002.</t>
  </si>
  <si>
    <t>Nettle, D., Halverson, G.P., et al. 2014. A middle–late Ediacaran volcano-sedimentary record from the eastern Arabian-Nubian shield. Terra Nova, 26, 120–129, https://doi.org/10.1111/ter.12077.</t>
  </si>
  <si>
    <t>below</t>
  </si>
  <si>
    <t>Radiometric date</t>
  </si>
  <si>
    <t>Igneous zircon U-Pb CA-TIMS date on porphyritic microgranite in the basement below the Rubtayn Formation</t>
  </si>
  <si>
    <t>Sample from basement beneath candidate glaciogenic deposit.</t>
  </si>
  <si>
    <t>contemporaneous</t>
  </si>
  <si>
    <t>Igneous zircon U-Pb LA-ICP-MS date.</t>
  </si>
  <si>
    <t>above</t>
  </si>
  <si>
    <t>Biostratigraphy</t>
  </si>
  <si>
    <t>Overyling Kokbulak and Koktal formations contain early Cambrian fossils</t>
  </si>
  <si>
    <t>Kokbulak</t>
  </si>
  <si>
    <t>Detrital zircon U-Pb LA-ICP-MS date from diamictite matrix</t>
  </si>
  <si>
    <t>Diamictite correlated with the Baykonur Formation</t>
  </si>
  <si>
    <t>Billy Springs Formation underlies the Rawnsley Quartzite including the fossiliferous Ediacara Member which is of late Ediacaran age.</t>
  </si>
  <si>
    <t>Jenkins 2011</t>
  </si>
  <si>
    <t>13C</t>
  </si>
  <si>
    <t>below deposit</t>
  </si>
  <si>
    <t>Date from Busch et al 2023 in Gametrail Formation; Shuram-correlated Wonoka excursion in the underlying Wonoka Formation.</t>
  </si>
  <si>
    <t>From overlying Volyn Group.</t>
  </si>
  <si>
    <t>Likely Cryogenian following Francovschi et al 2023; 2024</t>
  </si>
  <si>
    <t>Below lowest occurring Cambrian body fossils in the Forteau Formation and earliest Cambrian trace fossils in the Bradore Formation</t>
  </si>
  <si>
    <t>Swett 1981</t>
  </si>
  <si>
    <t>Knight et al 2017</t>
  </si>
  <si>
    <t>above deposit</t>
  </si>
  <si>
    <t>Wonoka excursion correlated to the Shuram excursion begins in the Wonoka Formation above the Bunyeroo Formation</t>
  </si>
  <si>
    <t>Correlation</t>
  </si>
  <si>
    <t xml:space="preserve">Stratigraphically above latest Cryogenian strata. </t>
  </si>
  <si>
    <t>Ar-Ar date on HP metamorphic amphibole generation in metagabbro</t>
  </si>
  <si>
    <t>Minimum age of island arc accretion metamorphism.</t>
  </si>
  <si>
    <t>Ar-Ar date on LP amphibole generation in metagabbro associated with ocean crust creation. Note also slightly younger age plateau at 600 ± 7 Ma.</t>
  </si>
  <si>
    <t xml:space="preserve">Minimum age of ocean crust formation beneath diamictite. </t>
  </si>
  <si>
    <t>U-Pb date on siliciclastic fraction of Sholtzberg Member dolostone likely to be driven mostly by detrital zircon components.</t>
  </si>
  <si>
    <t xml:space="preserve">Maximum depositional age from micro-zircons. </t>
  </si>
  <si>
    <t>Zircon U-Pb LA-ICP-MS from Laas granodiorite</t>
  </si>
  <si>
    <t xml:space="preserve">Laas granodiorite may have intruded the Clanzschwitz Group but this relationship is not clear from the presented maps. There is no evidence presented that it intrudes Clanzschwitz Member 3 but it may have metamorphosed Member 1 (Linnemann et al 2018; but see Kuhnemann et al 2024). </t>
  </si>
  <si>
    <t>Detrital monazite Th-U-Pb date from diamictite</t>
  </si>
  <si>
    <t>Local correlation with Cottons Breccia suggests the pair could be bracketed within Gaskiers age</t>
  </si>
  <si>
    <t>Wonoka excursion correlated to the Shuram excursion begins in the Wonoka Formation above the Dey Dey Mudstone by regional correlation</t>
  </si>
  <si>
    <t>Correlated with the Bunyeroo Formation which is stratigraphically above known terminal Cryogenian deposits.</t>
  </si>
  <si>
    <t>Ediacaran fossils, notably a holdfast disc and possible effaced fronds, found several metres above the diamicitite.</t>
  </si>
  <si>
    <t>middle to upper Dhaiqa</t>
  </si>
  <si>
    <t>Zircon U-Pb CA-ID-TIMS date from uppermost Miaohe Member</t>
  </si>
  <si>
    <t>Date constraining top of Doushantuo Formation</t>
  </si>
  <si>
    <t>EN3</t>
  </si>
  <si>
    <t>EN3 excursion correlated to Shuram excursion which is radiometrically dated elsewhere. EN3 excursion onset is above the highest occurrence of glendonites in any Doushantuo Formation section.</t>
  </si>
  <si>
    <t>EN2</t>
  </si>
  <si>
    <t>EN2 excursion below the EN3 excursion and correlated to end-Gaskiers time though this is not a well constrained correlation.</t>
  </si>
  <si>
    <t>Wholerock shale Re-Os date from middle of Doushantuo Formataion Member II</t>
  </si>
  <si>
    <t>Note that correlation with other sections is debatable; following Yang et al 2021 here who follow Zhu et al 2013 who correlated this level to EN1.5 whereas Ouyang et al 2019 correlate this level to between EN1.5 and EN2 in Zhangcunping.</t>
  </si>
  <si>
    <t>Date from Jiulongwan section (Yang et al 2021) that does not have glendonites (Wang et al 2020) but is correlated by d13C stratigraphy via position in EP1 and being below EP2 to sections which do have glendonites at about this level.</t>
  </si>
  <si>
    <t>Zircon U-Pb SIMS date from ash bed at base of Doushantuo Formation Unit 5</t>
  </si>
  <si>
    <t>Ash bed at base of Unit 5 close above unconformity at base of Unit 4. Unit 3 has EN1.5.</t>
  </si>
  <si>
    <t>Zircon U-Pb CA-ID-TIMS date from ash bed with detrital zircon population at the base of Doushantuo Formation Unit 5</t>
  </si>
  <si>
    <t>Igneous zircon U-Pb date on granite basement</t>
  </si>
  <si>
    <t>Igneous zircon U-Pb date on intruding dolerite dyke.</t>
  </si>
  <si>
    <t>Ediacaran fossils including Avalon and White Sea morphogroups recovered from strata around the diamictite in the Kushk Shale unit but precise relationshipt with the diamictite is not known.</t>
  </si>
  <si>
    <t>Esfordi</t>
  </si>
  <si>
    <t>Mohseni &amp; Aftabi 2015</t>
  </si>
  <si>
    <t>McCall 2006</t>
  </si>
  <si>
    <t>Zircon U-Pb TIMS date from tuff bed.</t>
  </si>
  <si>
    <t>Tuff bed in basalt flows near base of Catoctin Formation close above the top of the Fauquier Formation.</t>
  </si>
  <si>
    <t>Igneous zircon U-Pb date from volcanic tuff in Teniagouri Group overlying Jbeliat Group which is correlated with the Fersiga Group</t>
  </si>
  <si>
    <t xml:space="preserve">The Teniagouri Group is regionally correlated with the Azlaf Group which overlies the Fersiga Group. </t>
  </si>
  <si>
    <t>Detrital zircon U-Pb SIMS date from South Stack Group</t>
  </si>
  <si>
    <t>Holland Arms gneiss Rb-Sr wholerock isochron</t>
  </si>
  <si>
    <t>Detrital zircon LA-ICP-MS date from Llanddwyn Island.</t>
  </si>
  <si>
    <t>Stratigraphic position with respect to the diamictite unit unspecified but this is the closest geographical date.</t>
  </si>
  <si>
    <t>Cambrian acritarchs recovered from the overlying Xishanblaq Formation</t>
  </si>
  <si>
    <t>Xishanblaq</t>
  </si>
  <si>
    <t>Xiao et al 2004</t>
  </si>
  <si>
    <t>Yao et al 2005</t>
  </si>
  <si>
    <t>Date from Busch et al 2023 in Gametrail Formation; EN3/Shuram-correlated excursion below Hankalchough Formation</t>
  </si>
  <si>
    <t>d13C values less than -10 per mille reported from the Shuiquan Formation beneath the Hankalchough diamictite.</t>
  </si>
  <si>
    <t>SHRIMP U-Pb date on zircons from andesite lava</t>
  </si>
  <si>
    <t>Date from andesite lava between the Tereeken and Hankalchough diamictites</t>
  </si>
  <si>
    <t>Shaanxilithes fossils recovered from upper Zhoujieshan Formation which overlies the Hongtiegou Formation. More than 20 m of sandstone separates the last diamictites from the first Shaanxilithes fossils.</t>
  </si>
  <si>
    <t>Wang et al 2021 JAES</t>
  </si>
  <si>
    <t>Detrital zircon U-Pb date from sandstone</t>
  </si>
  <si>
    <t>Detrital zircon U-Pb date from diamictite matrix</t>
  </si>
  <si>
    <t>Igneous zircon U-Pb date from igneous rocks overlying the Tayvallach Formation and correlated with the Inishowen Beds.</t>
  </si>
  <si>
    <t>Correlation may not be robust.</t>
  </si>
  <si>
    <t>Igneous zircon U-Pb SHRIMP date from igneous rocks underlying the Inishowen Beds.</t>
  </si>
  <si>
    <t>Igneous zircon U-Pb SHRIMP date from metamorphosed volcanic rock directly beneath the diamictite</t>
  </si>
  <si>
    <t>Possibly from beneath a fault contact.</t>
  </si>
  <si>
    <t>Detrital zircon U-Pb SHRIMP date from granite clast within the diamictite</t>
  </si>
  <si>
    <t>Regional correlation with the Baykonur Formation</t>
  </si>
  <si>
    <t>Kheraskova 1981</t>
  </si>
  <si>
    <t>Ignimbrite near the base of the Ouarzazate Group</t>
  </si>
  <si>
    <t>Zircon U-PB SHRIMP date from igneous zircons from top Ouarzazate Group at Bou Azzer</t>
  </si>
  <si>
    <t>Top of the Ouarzazate Group volcanic pile in Tazegzaout section Bou Azzer Inlier.</t>
  </si>
  <si>
    <t>Ignimbrite near base of Izdar Member</t>
  </si>
  <si>
    <t>Starye Pechi; Koyva; and Tany are three separate diamictites separated by other formations but are collectively bracketed by two good zircon U-Pb dates that give all of them a plausibly Gaskiers age</t>
  </si>
  <si>
    <t xml:space="preserve">Possible Shuram excursion d13C values in the Buton, Kernos, and Starye Pechi formations. </t>
  </si>
  <si>
    <t>upper Starye Pechi</t>
  </si>
  <si>
    <t>Olistoliths have been sampled for d13C</t>
  </si>
  <si>
    <t>Kernos</t>
  </si>
  <si>
    <t>Buton</t>
  </si>
  <si>
    <t>Igneous zircon U-Pb SHRIMP date from Arsha Group</t>
  </si>
  <si>
    <t>Precise stratigraphic relationship to the Kurgashlya Formation unclear</t>
  </si>
  <si>
    <t>Assigned by these authors to "latest Riphean".</t>
  </si>
  <si>
    <t>Rb-Sr wholerock date on syenite intruding into the Las Ventanas Formation</t>
  </si>
  <si>
    <t>Ar-Ar syenite hornblende date from the Pan de Azucar pluton</t>
  </si>
  <si>
    <t>SHRIMP zircon U-Pb date on zircons from metabasalt in underlying Lavalleja Group</t>
  </si>
  <si>
    <t>This is the youngest date for the Lavalleja Group which the Maldonado Group unconformably overlies; most of the Lavalleja Group dates are much older</t>
  </si>
  <si>
    <t>Shaanxilithes fossils recovered from upper Dongpo Formation which overlies the Luoquan Formation. More than 40 m of siliciclastics separates the last diamictites from the first Shaanxilithes fossils.</t>
  </si>
  <si>
    <t xml:space="preserve">Ash bed zircon U-Pb CA-ID-TIMS sample GCI-neg7.75 Mall Bay Formation close under the Gaskiers Formation diamictite </t>
  </si>
  <si>
    <t xml:space="preserve">Ash bed zircon U-Pb CA-ID-TIMS sample GCI-neg6.55 Mall Bay Formation close under the Gaskiers Formation diamictite </t>
  </si>
  <si>
    <t>ID-TIMS welded tuff zircon U-Pb date</t>
  </si>
  <si>
    <t>Sample from upper Harbour Main Group which is unconformable below the Conception Group including the Mall Bay Formation</t>
  </si>
  <si>
    <t>Detrital zircon U-Pb LA-ICP-MS date from sandstone of Marnya Formation</t>
  </si>
  <si>
    <t>Sample from Marnya Formation sandstone overlying the diamictite; date in agreement with further overlying detrital zircon dates</t>
  </si>
  <si>
    <t>Igneous zircon U-Pb TIMS date from syenite.</t>
  </si>
  <si>
    <t xml:space="preserve">Zircons from youngest population of Robertson River Igneous Suite which is interbedded with Mehcum River Formation. </t>
  </si>
  <si>
    <t>Igneous zircon U-Pb TIMS date from granite.</t>
  </si>
  <si>
    <t xml:space="preserve">Shuram CIE nadir values (-10 ‰) recovered from strata close below the diamicitite give a depositional age for the diamictite of younger than the nadir of the Shuram excursion. </t>
  </si>
  <si>
    <t>Nyborg</t>
  </si>
  <si>
    <t>Member E</t>
  </si>
  <si>
    <t xml:space="preserve">Shuram CIE nadir values (-10 ‰) recovered from dolostone clasts within the diamictite give a depositional age for the diamictite of younger than the nadir of the Shuram excursion. </t>
  </si>
  <si>
    <t xml:space="preserve">Ediacaran fossils recovered from strata overlying the diamictite and below the identified Ediacaran/Cambrian boundary. </t>
  </si>
  <si>
    <t>Agic et al 2024</t>
  </si>
  <si>
    <t>Carbonate Pb-Pb isochron date</t>
  </si>
  <si>
    <t>Cloudinids reported from the Villarta Formation stratigraphically above the Orellana Formation.</t>
  </si>
  <si>
    <t>Palacios 2024</t>
  </si>
  <si>
    <t>Youngest detrital zircon U-Pb SHRIMP date from sandstone in the Upper Alcudian sub-group</t>
  </si>
  <si>
    <t>Above the Intra-Alcudian unconformity</t>
  </si>
  <si>
    <t>Igneous zircon SHRIMP date on porphyritic basalt at base of Adoudou Formation</t>
  </si>
  <si>
    <t>Basalt at base of Adoudou Formation close above top of Ouarzazate Group</t>
  </si>
  <si>
    <t>Unconformably overlies sample ALDG21; from basal Ouarzazate Group below glaciation evidence</t>
  </si>
  <si>
    <t>Ignimbrite zircon U-Pb LA-ICP-MS concordia age from the youngest zircon population</t>
  </si>
  <si>
    <t>Basal ignimbrite of the Ouarzazate Group in Imiter section</t>
  </si>
  <si>
    <t>Detrital zircon U-Pb LA-ICP-MS concordia age from youngest zircon population</t>
  </si>
  <si>
    <t>Detrital zircon from uppermost M'Gouna Group or basal Ouarzazate Group below any potential glacial deposits</t>
  </si>
  <si>
    <t>Igneous zircon U-Pb SHRIMP date from microsyenite intruding the upper Playa Hermosa Formation</t>
  </si>
  <si>
    <t>Igneous zircon U-Pb SHRIMP date from El Tambo Formation flow-banded rhyolite</t>
  </si>
  <si>
    <t>Igneous zircon U-Pb SHRIMP date from syenite intruding the Playa Hermosa Formation</t>
  </si>
  <si>
    <t>Youngest single grain detrital zircon U-Pb SHRIMP date from basal Playa Hermosa Formatin</t>
  </si>
  <si>
    <t>Kokbulak and Koktal formations substanially further up stratigraphy contain early Cambrian fossils</t>
  </si>
  <si>
    <t>Diamictite correlated with the Baykonur Formation which may overlie the Rang/Ran Formation</t>
  </si>
  <si>
    <t>Rockfish Conglomerate (basal Lynchburg Group/Lynchburg Formation) is stratigraphically below the Mechum River Formation</t>
  </si>
  <si>
    <t>Detrital zircon U-Pb LA-ICP-MS date; youngest grain in population</t>
  </si>
  <si>
    <t>in deposit</t>
  </si>
  <si>
    <t>Underlying Kernos and Buton formations and the upper Starye Pechi have negative carbon isotope values consistent with Shuram values.</t>
  </si>
  <si>
    <t>Detrital zircon U-Pb LA-ICP-MS date from 8 youngest concordant zircons.</t>
  </si>
  <si>
    <t>Igneous zircon U-Pb SHRIMP date on rhyolite tuff below Tillery Formation</t>
  </si>
  <si>
    <t>Unit below the Tillery Formation</t>
  </si>
  <si>
    <t>Igneous zircon U-Pb TIMS date on volcanic unit in Flat Swamp Member</t>
  </si>
  <si>
    <t>Unit above the Tillery Formation</t>
  </si>
  <si>
    <t>Ediacaran fossils reported from overlying Cid Formatin</t>
  </si>
  <si>
    <t>Igneous zircon CA-TIMS date on ash bed previously examined by Grotzinger et al 1995.</t>
  </si>
  <si>
    <t>From falling limb of positive CIE above the lower Kuibis Subgroup unconformity.</t>
  </si>
  <si>
    <t>Igneous zircon CA-ID-TIMS date on ash bed in lowermost Vingerbreek Member.</t>
  </si>
  <si>
    <t>Lower Vingerbreek Member.</t>
  </si>
  <si>
    <t>Above the OMkyk positive Excursion (OME) and below the SPItskop positive Excursion (SPIE) in a poorly constrained interval that is overall calibrated to between 546.4 to 545.3 Ma.</t>
  </si>
  <si>
    <t>Bowyer et al 2023</t>
  </si>
  <si>
    <t>Detrital zircon U-Pb LA-ICP-MS date; maximum depositional age esimtate</t>
  </si>
  <si>
    <t>Sandstone in Pochengshan Formation unconformable over Xichangjing Formation</t>
  </si>
  <si>
    <t>Sandstone in Shuangyingshan Formation unconformable over Xichangjing Formation</t>
  </si>
  <si>
    <t>Sandstone in upper Xichangjing Formation above diamictite units</t>
  </si>
  <si>
    <t>Clast-rich diamictite from lower Xichangjing Formation</t>
  </si>
  <si>
    <t>Matrix-rich diamictite from upper Xichangjing Formation</t>
  </si>
  <si>
    <t>Sandstone at the top of the Xichangjing Formation above diamictite units</t>
  </si>
  <si>
    <t>Matrix-rich diamictite from mid Xichangjing Formation</t>
  </si>
  <si>
    <r>
      <t>Cloudina</t>
    </r>
    <r>
      <rPr>
        <sz val="11"/>
        <color theme="1"/>
        <rFont val="Calibri"/>
        <family val="2"/>
        <scheme val="minor"/>
      </rPr>
      <t xml:space="preserve"> reported from limestone clasts in a diamictite above the glaciogenic basal diamictite</t>
    </r>
  </si>
  <si>
    <t>Bokson</t>
  </si>
  <si>
    <t>Zabit</t>
  </si>
  <si>
    <r>
      <rPr>
        <i/>
        <sz val="11"/>
        <color theme="1"/>
        <rFont val="Calibri"/>
        <family val="2"/>
        <scheme val="minor"/>
      </rPr>
      <t>Cloudina</t>
    </r>
    <r>
      <rPr>
        <sz val="11"/>
        <color theme="1"/>
        <rFont val="Calibri"/>
        <family val="2"/>
        <scheme val="minor"/>
      </rPr>
      <t xml:space="preserve"> fossils found above the unit generally described as glaciogenic but I have not been able to observe the </t>
    </r>
    <r>
      <rPr>
        <i/>
        <sz val="11"/>
        <color theme="1"/>
        <rFont val="Calibri"/>
        <family val="2"/>
        <scheme val="minor"/>
      </rPr>
      <t>Cloudina</t>
    </r>
    <r>
      <rPr>
        <sz val="11"/>
        <color theme="1"/>
        <rFont val="Calibri"/>
        <family val="2"/>
        <scheme val="minor"/>
      </rPr>
      <t xml:space="preserve"> specimens or to see them in full stratigraphic context. Cambrian fossils are found in the overlying formations.</t>
    </r>
  </si>
  <si>
    <t>Shaanxilithes fossils recovered from upper Tuerkeng Formation which overlies the Zhengmuguan Formation. More than 50 m of siliciclastics separates the last diamictites from the first Shaanxilithes fossils.</t>
  </si>
  <si>
    <t>upper Tuerkeng</t>
  </si>
  <si>
    <t>Palaeosol level regionally correlated to the same level as the Slutsky-Kholonevychi diamictite; &gt;400 m stratigraphically above the Zukow Formation</t>
  </si>
  <si>
    <t>constraint_position</t>
  </si>
  <si>
    <t>constraint_type</t>
  </si>
  <si>
    <t>additional_notes</t>
  </si>
  <si>
    <t>radiometric_date_notes</t>
  </si>
  <si>
    <t>radiometric_date_ma</t>
  </si>
  <si>
    <t>radiometric_date_ma_x</t>
  </si>
  <si>
    <t>radiometric_date_ma_y</t>
  </si>
  <si>
    <t>radiometric_date_ma_z</t>
  </si>
  <si>
    <t>radiometric_date_ma_mswd</t>
  </si>
  <si>
    <t>radiometric_date_description</t>
  </si>
  <si>
    <t>radiometric_date_method</t>
  </si>
  <si>
    <t>radiometric_date_mineral</t>
  </si>
  <si>
    <t>radiometric_date_gts2020_id</t>
  </si>
  <si>
    <t>constraint_date_type</t>
  </si>
  <si>
    <t>constraint_date_system</t>
  </si>
  <si>
    <t>constraint_age_ma</t>
  </si>
  <si>
    <t>constraint_age_ma_unc</t>
  </si>
  <si>
    <t>constraint_date_lithology</t>
  </si>
  <si>
    <t>Kühnemann, V., Meinhold, G., Schulz, B., Gilbricht, S., Weber, S. and Wemmer, K. 2024. The “greywacke problem” explored in the neoproterozoic of Saxo-Thuringia: new insights into sediment composition and metamorphic overprint. International Journal of Earth Sciences, https://doi.org/10.1007/s00531-024-02475-x.</t>
  </si>
  <si>
    <t>Chumakov 2011c</t>
  </si>
  <si>
    <t>Chumakov, N.M. 2011b. Chapter 24 The Neoproterozoic glacial formations of the North and Middle Urals. In: Arnaud, E., Halverson, G. P. and Shields-Zhou, G. (eds) The Geological Record of Neoproterozoic Glaciations. Geological Society, London, Memoirs36, 289–296., https://doi.org/10.1144/M36.23.</t>
  </si>
  <si>
    <t>Chumakov, N.M. 2011a. Chapter 23 Glacial deposits of the Bokson Group, East Sayan Mountains, Buryatian Republic, Russian Federation. In: Arnaud, E., Halverson, G. P. and Shields-Zhou, G. (eds) The Geological Record of Neoproterozoic Glaciations. Geological Society, London, Memoirs36, 285–288., https://doi.org/10.1144/M36.23.</t>
  </si>
  <si>
    <t>Chumakov, N.M. 2011c. Chapter 26 Glacial deposits of the Baykonur Formation, Kazakhstan and Kyrgyzstan. In: Arnaud, E., Halverson, G. P. and Shields-Zhou, G. (eds) The Geological Record of Neoproterozoic Glaciations. Geological Society, London, Memoirs36, 303–307., https://doi.org/10.1144/M36.23.</t>
  </si>
  <si>
    <t>Chumakov 2011a</t>
  </si>
  <si>
    <t>Chumakov 2011b</t>
  </si>
  <si>
    <t>Baikonur Formation; Dzetymtay Formation; Rang Formation [sic]</t>
  </si>
  <si>
    <t>Fitzgerald, D.M., Narbonne, G.M., Pufahl, P.K. and Dalrymple, R.W. 2024. The Mall Bay Formation (Ediacaran) and the protracted onset of the Gaskiers glaciation in Newfoundland, Canada. Precambrian Research, 405, 107369, https://doi.org/10.1016/j.precamres.2024.107369.</t>
  </si>
  <si>
    <t>Rojas-Agramonte, Y., Kröner, A., et al. 2014. Detrital and igneous zircon ages for supracrustal rocks of the Kyrgyz Tianshan and palaeogeographic implications. Gondwana Research, 26, 957–974, https://doi.org/10.1016/j.gr.2013.09.005.</t>
  </si>
  <si>
    <t>Pecoits, E., Gingras, M.K. and Konhauser, K.O. 2011. Chapter 53 Las Ventanas and San Carlos formations, Maldonado Group, Uruguay. Geological Society, London, Memoirs, 36, 555–564, https://doi.org/10.1144/M36.53.</t>
  </si>
  <si>
    <t>Mallmann, G., Chemale, F., Ávila, J.N., Kawashita, K. and Armstrong, R.A. 2007. Isotope geochemistry and geochronology of the Nico Pérez Terrane, Rio de la Plata Craton, Uruguay. Gondwana Research, 12, 489–508, https://doi.org/10.1016/j.gr.2007.01.002.</t>
  </si>
  <si>
    <t>Gaucher, C., Blanco, G., Chiglino, L., Poiré, D. and Germs, G.J.B. 2008. Acritarchs of Las Ventanas Formation (Ediacaran, Uruguay): Implications for the timing of coeval rifting and glacial events in western Gondwana. Gondwana Research, 13, 488–501, https://doi.org/10.1016/j.gr.2007.05.008.</t>
  </si>
  <si>
    <t>Bossi, J., Cingolani, C.A., Llambías, E.J., Varela, R. and Campal, N. 1993. Características del magmatismo post-orogénico finibrasiliano en el Uruguay: formaciones Sierra de Ríos y Sierra de Ánimas. Brazilian Journal of Geology, 23, no. 3, https://doi.org/10.5327/rbg.v23i3.469.</t>
  </si>
  <si>
    <t>Oyhantçabal, P., Siegesmund, S., Wemmer, K., Frei, R. and Layer, P. 2007. Post-collisional transition from calc-alkaline to alkaline magmatism during transcurrent deformation in the southernmost Dom Feliciano Belt (Braziliano–Pan-African, Uruguay). Lithos, 98, 141–159, https://doi.org/10.1016/j.lithos.2007.03.001.</t>
  </si>
  <si>
    <t>Kawai, T., Windley, B., Terabayashi, M., Yamamoto, H., Isozaki, Y. and Maruyama, S. 2008. Neoproterozoic glaciation in the mid-oceanic realm: An example from hemi-pelagic mudstones on Llanddwyn Island, Anglesey, UK. Gondwana Research, 14, 105–114, https://doi.org/10.1016/j.gr.2007.12.008.</t>
  </si>
  <si>
    <t>Condon, D.J. and Prave, A.R. 2000. Two from Donegal: Neoproterozoic glacial episodes on the northeast margin of Laurentia. Geology, 28, 951–954, https://doi.org/10.1130/0091-7613(2000)28&lt;951:TFDNGE&gt;2.0.CO;2.</t>
  </si>
  <si>
    <t>Prave, A.R. and Fallick, A.E. 2011. The Neoproterozoic glaciogenic deposits of Scotland and Ireland. In: Arnaud, E., Halverson, G. P. and Shields-Zhou, G. (eds) The Geological Record of Neoproterozoic Glaciations. 0., https://doi.org/10.1144/M36.63.</t>
  </si>
  <si>
    <t>Nystuen, J.P. and Lamminen, J.T. 2011. Neoproterozoic glaciation of South Norway: from continental interior to rift and pericratonic basins in western Baltica. In: Arnaud, E., Halverson, G. P. and Shields-Zhou, G. (eds) The Geological Record of Neoproterozoic Glaciations. 0., https://doi.org/10.1144/M36.59.</t>
  </si>
  <si>
    <t>Rice, A.H.N., Edwards, M.B., Hansen, T.A., Arnaud, E. and Halverson, G.P. 2011. Chapter 57 Glaciogenic rocks of the Neoproterozoic Smalfjord and Mortensnes formations, Vestertana Group, E. Finnmark, Norway. Geological Society, London, Memoirs, 36, 593–602, https://doi.org/10.1144/M36.57.</t>
  </si>
  <si>
    <t>Alvarenga, C.J.S., Figueiredo, M.F., Babinski, M. and Pinho, F.E.C. 2007. Glacial diamictites of Serra Azul Formation (Ediacaran, Paraguay belt): Evidence of the Gaskiers glacial event in Brazil. Journal of South American Earth Sciences, 23, 236–241, https://doi.org/10.1016/j.jsames.2006.09.015.</t>
  </si>
  <si>
    <t>Gostin, V.A., McKirdy, D.M., Webster, L.J. and Williams, G.E. 2010. Ediacaran ice-rafting and coeval asteroid impact, South Australia: insights into the terminal Proterozoic environment. Australian Journal of Earth Sciences, 57, 859–869, https://doi.org/10.1080/08120099.2010.509408.</t>
  </si>
  <si>
    <t>lonestone</t>
  </si>
  <si>
    <t>granule cluster</t>
  </si>
  <si>
    <t>Wang, Z., Chen, C., et al. 2020. Wide but not ubiquitous distribution of glendonite in the Doushantuo Formation, South China: Implications for Ediacaran climate. Precambrian Research, 338, 105586, https://doi.org/10.1016/j.precamres.2019.105586.</t>
  </si>
  <si>
    <t>Wang, Z., Wang, J., Suess, E., Wang, G., Chen, C. and Xiao, S. 2017. Silicified glendonites in the Ediacaran Doushantuo Formation (South China) and their potential paleoclimatic implications. Geology, 45, 115–118, https://doi.org/10.1130/G38613.1.</t>
  </si>
  <si>
    <t>Wang et al 2017 Geob</t>
  </si>
  <si>
    <t>Wang et al 2017 Geol</t>
  </si>
  <si>
    <t>YD-4</t>
  </si>
  <si>
    <t>HJZK</t>
  </si>
  <si>
    <t>glendonite</t>
  </si>
  <si>
    <t>U6 to U9</t>
  </si>
  <si>
    <t>U2</t>
  </si>
  <si>
    <t>Loch na Cille boulder beds</t>
  </si>
  <si>
    <t>Upper Lynchburg</t>
  </si>
  <si>
    <t>Volyn-Brest</t>
  </si>
  <si>
    <t>Francovschi, I., Shumlyanskyy, L., et al. 2023. U–Pb geochronology of detrital zircon from the Ediacaran and Cambrian sedimentary successions of NE Estonia and Volyn region of Ukraine: Implications for the provenance and comparison with other areas within Baltica. Precambrian Research, 392, 107087, https://doi.org/10.1016/j.precamres.2023.107087.</t>
  </si>
  <si>
    <t>Francovschi, I., Shumlyanskyy, L., Grytsenko, V., Hoffmann, A., Wilde, S.A. and Bekker, A. 2024. U–Pb geochronology and Hf isotope systematics of detrital zircon from the basal part of the late Ediacaran sedimentary succession of the Moldova-Podillya basin (SW Baltica): Implications for glacial vs. alluvial origin. Precambrian Research, 413, 107572, https://doi.org/10.1016/j.precamres.2024.107572.</t>
  </si>
  <si>
    <t>Tindal, B. 2023. Geological Constraints on Neoproterozoic Glacial Episodes. PhD Thesis, University of Cambridge.</t>
  </si>
  <si>
    <t>Agić, H., Jensen, S., et al. 2024. Life through an Ediacaran glaciation: Shale- and diamictite-hosted organic-walled microfossil assemblages from the late Neoproterozoic of the Tanafjorden area, northern Norway. Palaeogeography, Palaeoclimatology, Palaeoecology, 635, 111956, https://doi.org/10.1016/j.palaeo.2023.111956.</t>
  </si>
  <si>
    <t>deposit_score_Tindal2023</t>
  </si>
  <si>
    <t>deposit_score_WH01</t>
  </si>
  <si>
    <t>deposit_score_WH02</t>
  </si>
  <si>
    <t>WH01: ★★★☆☆ diamictite and dropstones with angular clasts from 3 lithological groups.</t>
  </si>
  <si>
    <t>WH01: ★★★★☆ Small striated surfaces with crescentic gouges, and diamictite with subangular to subrounded clasts from 3 lithological groups, some of which are striated.</t>
  </si>
  <si>
    <t>WH01: ★★★☆☆ Small smooth surfaces, and diamictite and dropstones with angular to rounded clasts from 2 lithological groups.</t>
  </si>
  <si>
    <t xml:space="preserve">WH01: ★★☆☆☆ Basal conglomerate with clasts of unreported roundness from 3 lithological groups. Note that Campanha et al 2008 interpret this unit as a non-glaciogenic basal conglomerate. </t>
  </si>
  <si>
    <t>WH01: ★★☆☆☆ subrounded dropstones from 2 lithological groups, some of which are facetted. Evidence (Fitzgerald et al 2024) not originally available.</t>
  </si>
  <si>
    <t>WH01: ★★★★☆ Deformed beds interpreted as glaciotectonism, and diamictite with subangular to rounded clasts from 4 lithological groups, some of which are facetted or striated. Evidence (Niu et al 2024) not originally available.</t>
  </si>
  <si>
    <t xml:space="preserve">Following Kuhnemann et al 2024 &amp; Meinhold et al 2025; may be Cambro-Ordovician. </t>
  </si>
  <si>
    <t>Tindal 2023 implicit 0: excluded evidence only of glacioeustasy.</t>
  </si>
  <si>
    <t>Tindal 2023 implicit 0: excluded evidence of only non-glacial ice.</t>
  </si>
  <si>
    <t>Tindal 2023 implicit 0: excluded glendonite occurrences.</t>
  </si>
  <si>
    <t>deposit_score_WH01_source</t>
  </si>
  <si>
    <t>deposit_score_Tindal2023_notes</t>
  </si>
  <si>
    <t>Tindal 2023 split into lower 4* and upper 2* diamictites; combined here.</t>
  </si>
  <si>
    <t>WH01: Tindal 2023 split into lower 4* and upper 2* diamictites; combined here.</t>
  </si>
  <si>
    <t>Tindal 2023 combined with Muglitz Formation/Weesenstein diamictite.</t>
  </si>
  <si>
    <t xml:space="preserve">WH01: ★★☆☆☆ diamictite and dropstones with rounded clasts from 2 lithological groups, some of which are facetted. </t>
  </si>
  <si>
    <t>Tindal 2023 combined with Clanzschwitz diamictite.</t>
  </si>
  <si>
    <t>deposit_score_WH02_source</t>
  </si>
  <si>
    <t>WH01</t>
  </si>
  <si>
    <t>WH01: ★☆☆☆☆ loose stones found in field containing diamictite with clasts of unreported roundness from one lithological group, some of which are facetted. Tindal 2023 combined with Muglitz Formation; separated here.</t>
  </si>
  <si>
    <t>WH02: see Supplementary Information</t>
  </si>
  <si>
    <t>WH02: removed from compilation</t>
  </si>
  <si>
    <t>Al-Husseini, M. 2011. Late Ediacaran to early Cambrian (Infracambrian) Jibalah Group of Saudi Arabia. GeoArabia, 16, 69–90, https://doi.org/10.2113/geoarabia160369.</t>
  </si>
  <si>
    <t>Al-Husseini 2014</t>
  </si>
  <si>
    <t>Deynoux et al 2006</t>
  </si>
  <si>
    <t>Deynoux, M., Affaton, P., Trompette, R. and Villeneuve, M. 2006. Pan-African tectonic evolution and glacial events registered in Neoproterozoic to Cambrian cratonic and foreland basins of West Africa. Journal of African Earth Sciences, 46, 397–426, https://doi.org/10.1016/j.jafrearsci.2006.08.005.</t>
  </si>
  <si>
    <t>Poorly constrained; Deynoux et al 2006 and Chumakov 2009 infer a late Ediacaran (560 to 530 Ma) depositional age but the radiometric constraints they use are unreliable (see Bechiri-Benmerzoug et al 2017) and a Cryogenian age based on lithostratigraphy of the 'triad' deposits across the Taoudeni Basin may be more likely (Graham Shields pers. comm.)</t>
  </si>
  <si>
    <t>Picciotto et al 1964</t>
  </si>
  <si>
    <t>Picciotto, E., Ledent, D. and Ley, C. 1965. Etude geochronologique de quelques roches du socle cristallophyllien du Hoggar (Sahara central). Science de la Terre, Nancy, X, 481–495.</t>
  </si>
  <si>
    <t>Cahen et al 1984</t>
  </si>
  <si>
    <t>Cahen, L., Snelling, N.J., Delhal, J. and Vail, J.R. 1984. The Geochronology and Evolution of Africa.</t>
  </si>
  <si>
    <t>recalculated by Cahen et al 1984</t>
  </si>
  <si>
    <t>In Zize rhyolite</t>
  </si>
  <si>
    <t>Wholerock Rb-Sr date from granite unconformable below the Pourpree de l'Ahnet Group</t>
  </si>
  <si>
    <t>Wholerock Rb-Sr date from the In Zize rhyolite</t>
  </si>
  <si>
    <t>Caby &amp; Fabre 1981</t>
  </si>
  <si>
    <t>Caby, R. and Fabre, J. 1981. A22. Late Proterozoic to Early Cambrian diamictites, tillites and associated glaciogenic sediments in the Série Pourprée of Western Ahaggar, Algeria. In: Hambrey, M. J. and Harland, W. B. (eds) Earth’s Pre-Pleistocene Glacial Record. 140–145.</t>
  </si>
  <si>
    <t>Allegre, C. and Caby, R. 1972. Chronologie absolue du Précambrien de l’Ahaggar occidental. Comptes Rendus Académie des Sciences, Paris, 275, 2095–2098.</t>
  </si>
  <si>
    <t>Allegre &amp; Caby 1972</t>
  </si>
  <si>
    <t xml:space="preserve">Likely from the Llanddwyn Island Volcanic Member of the Bodorgan Formation but this is not specified in the paper. </t>
  </si>
  <si>
    <t>Stratigraphic relationship uncertain but may crosscut strata in the area.</t>
  </si>
  <si>
    <t>Halliday, A.N., Graham, C.M., Aftalion, M. and Dymoke, P. 1989. Short Paper: The depositional age of the Dalradian Supergroup: U-Pb and Sm-Nd isotopic studies of the Tayvallich Volcanics, Scotland. Journal of the Geological Society, 146, 3–6, https://doi.org/10.1144/gsjgs.146.1.0003.</t>
  </si>
  <si>
    <t>Dempster, T.J., Rogers, G., et al. 2002. Timing of deposition, orogenesis and glaciation within the Dalradian rocks of Scotland: constraints from U–Pb zircon ages. Journal of the Geological Society, 159, 83–94, https://doi.org/10.1144/0016-764901061.</t>
  </si>
  <si>
    <t xml:space="preserve">Stratigraphic relationship to the Tayvallich Volcanics is uncertain but may crosscut strata in the area. Use as a constraint for the Inishowen beds is based on tentative correlation with the Loch na Cille beds which may not be sound. </t>
  </si>
  <si>
    <t xml:space="preserve">Use as a constraint for the Inishowen beds is based on tentative correlation with the Loch na Cille beds which may not be sound. </t>
  </si>
  <si>
    <t>Assumes that carbon isotope data indicate a post- or syn-Shuram age assignment. Palaeontological data facilitate an earlier, early or mid-Ediacaran, age.</t>
  </si>
  <si>
    <t>Zukowska Formation; Białystok Formation</t>
  </si>
  <si>
    <t>Krzemińska, E., Poprawa, P., Pacześna, J. and Krzemiński, L. 2022. From initiation to termination: The evolution of the Ediacaran Volyn large igneous province (SW East European Craton) constrained by comparative geochemistry of proximal tuffs versus lavas and zircon geochronology. Precambrian Research, 370, 106560, https://doi.org/10.1016/j.precamres.2022.106560.</t>
  </si>
  <si>
    <t>Krzeminska et al 2022</t>
  </si>
  <si>
    <t>Kap-1720</t>
  </si>
  <si>
    <t>From the upper Volyn Group</t>
  </si>
  <si>
    <t>From the lower Volyn Group</t>
  </si>
  <si>
    <t>Igneous zircon U-Pb SHRIMP date from andesite tuff in the lower Volyn Group</t>
  </si>
  <si>
    <t xml:space="preserve">This is the youngest concordant age; an older age of 571.5 ± 7.7 Ma (MSWD = 4.2) is also supported. </t>
  </si>
  <si>
    <t>Sławatycze</t>
  </si>
  <si>
    <t>lower Sławatycze</t>
  </si>
  <si>
    <t>Shields-Zhou, G.A., Deynoux, M. and Och, L. 2011. Chapter 11. The record of Neoproterozoic glaciation in the Taoudéni Basin, NW Africa. In: Arnaud, E., Halverson, G. P. and Shields-Zhou, G. (eds) The Geological Record of Neoproterozoic Glaciations. 0., https://doi.org/10.1144/M36.11.</t>
  </si>
  <si>
    <t>Thompson, M.D., Grunow, A.M. and Ramezani, J. 2007. Late Neoproterozoic paleogeography of the Southeastern New England Avalon Zone: Insights from U-Pb geochronology and paleomagnetism. GSA Bulletin, 119, 681–696, https://doi.org/10.1130/B26014.1.</t>
  </si>
  <si>
    <t>Poorly constrained; possibly MEIH following Frimmel 2011b but Macdonald et al 2010 and Hoffman et al 2017 consider it Sturtian</t>
  </si>
  <si>
    <t>Poorly constrained; lithostratigraphically correlated with Numees Formation; possibly MEIH following Frimmel 2011b; Macdonald et al 2010 and Hoffman et al 2017 consider the Numees Formation (and by implication the Chameis Gate Member) Sturtian</t>
  </si>
  <si>
    <t>Yue et al 2025</t>
  </si>
  <si>
    <t>Yue, L., Ji, Y., et al. 2025. Ediacaran glaciogenic deposits within a carbonate platform background: insights from the Fengtai formation in the southeastern margin of the North China Craton. Geosciences Journal, https://doi.org/10.1007/s12303-025-00034-3.</t>
  </si>
  <si>
    <t>Fengtai Formation</t>
  </si>
  <si>
    <t>North China Craton</t>
  </si>
  <si>
    <t>Fengtai</t>
  </si>
  <si>
    <t>Unconformity between Fengtai Formation and overlying Houjiashan Formation</t>
  </si>
  <si>
    <t>Houjiashan</t>
  </si>
  <si>
    <t>sandy mudstone</t>
  </si>
  <si>
    <t>Tan et al 2025</t>
  </si>
  <si>
    <t>Tan, M., Li, Z., Lan, Z., An, W. and Wang, D. 2025. Rodinia supercontinent assembly in the southeastern North China Craton: Detrital zircon evidence from the late Ediacaran Fengtai Formation. Precambrian Research, 422, 107775, https://doi.org/10.1016/j.precamres.2025.107775.</t>
  </si>
  <si>
    <t>Not accessible</t>
  </si>
  <si>
    <t>Date from MSc thesis cited in Yue et al 2025</t>
  </si>
  <si>
    <t>Date from inaccessible paper cited in Yue et al 2025</t>
  </si>
  <si>
    <t>Original work not available</t>
  </si>
  <si>
    <t>Most likely late Ediacaran following Zhu &amp; Wang 2011 correlation with Hankalchough Formation but an earlier age cannot be ruled out</t>
  </si>
  <si>
    <t>Alexeiev, D.V., Khudoley, A.K., Shevkunov, A.G., Kulikova, A.V., Aidarkulov, T.N. and Minnebaev, K.R. 2025. Late Ediacaran Glacial Deposits of the Baykonur Formation, Middle Tianshan of East Kyrgyzstan: Age Substantiation Based on Detrital Zircon U–Th–Pb (LA-ICP-MS) Geochronological Study. Doklady Earth Sciences, 520, 24, https://doi.org/10.1134/S1028334X24604838.</t>
  </si>
  <si>
    <t>Alexeiev et al 2025</t>
  </si>
  <si>
    <t>1B-1</t>
  </si>
  <si>
    <t>1A-1</t>
  </si>
  <si>
    <t>Upper part of the Baykonur Formation diamictite</t>
  </si>
  <si>
    <t>Detrital zircon U-Pb LA-ICP-MS date from diamictite wholerock</t>
  </si>
  <si>
    <t>upper Baykonur</t>
  </si>
  <si>
    <t>Pazos et al 2011</t>
  </si>
  <si>
    <t>Pazos, P.J., Rapalini, A.E., Bettucci, L.S. and Tófalo, O.R. 2011. Chapter 52 The Playa Hermosa Formation, Playa Verde Basin, Uruguay. Geological Society, London, Memoirs, 36, 547–553, https://doi.org/10.1144/M36.52.</t>
  </si>
  <si>
    <t>Lower Member</t>
  </si>
  <si>
    <t>Historically poorly constrained; often assumed to be late Ediacaran which is now supported by detrital zircon U-Pb dates by Alexeiev et al 2025</t>
  </si>
  <si>
    <t xml:space="preserve">Following Kuhnemann et al 2024 may be Cambro-Ordovician. </t>
  </si>
  <si>
    <t>Possibly LEIH by correlation with nearby North China craton deposits but not well constrained itself</t>
  </si>
  <si>
    <t>section_longitude</t>
  </si>
  <si>
    <t>section_latitude</t>
  </si>
  <si>
    <t>composite_longitude</t>
  </si>
  <si>
    <t>composite_latitude</t>
  </si>
  <si>
    <t>constraint_wrt_csl</t>
  </si>
  <si>
    <t>Grand mean of three samples: SA-12 (SdAn-2); SA-20 (SdAn-1); SA-8 (SdAn3)</t>
  </si>
  <si>
    <t>From correlated Chalus Road section Soltanieh Formation Middle Dolomite Member contains early Cambrian SSFs; stratigraphic position quite well constrained to above the diamictite bearing unit</t>
  </si>
  <si>
    <t>Soltanieh</t>
  </si>
  <si>
    <t>Middle Dolomite</t>
  </si>
  <si>
    <t>Treptichnus pedum recovered from sections in West Alborz Mountains</t>
  </si>
  <si>
    <t>Second formation above the Moelv includes subtrilobitic Cambrian acritarch and trace fossils</t>
  </si>
  <si>
    <t>Vangsas</t>
  </si>
  <si>
    <t>fossils found in upper part of Vangsas Formation</t>
  </si>
  <si>
    <t>Nielsen &amp; Schovsbo 2007</t>
  </si>
  <si>
    <t>Nielsen, A.T. and Schovsbo, N.H. 2007. Cambrian to basal Ordovician lithostratigraphy in southern Scandinavia. Bulletin of the Geological Society of Denmark, 53, 47–92.</t>
  </si>
  <si>
    <t>rhyolites &amp; syenites</t>
  </si>
  <si>
    <t>Grand mean of igneous zircon U-Pb SHRIMP dates from El Tambo Formation flow-banded rhyolite + microsyenite intruding upper Playa Hermosa Formation + syenite intruding the Playa Hermosa Formation</t>
  </si>
  <si>
    <t>Rapalini, A.E., Tohver, E., Bettucci, L.S., Lossada, A.C., Barcelona, H. and Pérez, C. 2015. The late Neoproterozoic Sierra de las Ánimas Magmatic Complex and Playa Hermosa Formation, southern Uruguay, revisited: Paleogeographic implications of new paleomagnetic and precise geochronologic data. Precambrian Research, 259, 143–155, https://doi.org/10.1016/j.precamres.2014.11.021.</t>
  </si>
  <si>
    <t>Youngest graphical detrital zircon age peak from the sample; this age peak is younger than the age peaks in the Xichanghing diamictite and is therefore considered to provide a (tentative) minimum age constraint on the diamictite</t>
  </si>
  <si>
    <t>constraint_position_notes</t>
  </si>
  <si>
    <t>Trilobites from unconformably overlying formation</t>
  </si>
  <si>
    <t>Linkuanggou</t>
  </si>
  <si>
    <t>Eoredlichia specimens recovered</t>
  </si>
  <si>
    <t>Serrodiscus and Tannudiscus specimens recovered</t>
  </si>
  <si>
    <t>Could be interpreted as LEGH following tentative chemostratigraphic constraints - see Supplementary Information</t>
  </si>
  <si>
    <t>Rocky Harbour Group</t>
  </si>
  <si>
    <t>Commonly interpreted as Ediacaran; Baillie et al 2025 (unreviewed abstract) indicate a non-Ediacaran (Permo-Carboniferous, Dwyka Formation) assignation for the glacial parts of this deposit</t>
  </si>
  <si>
    <t>Mercantile diamictite</t>
  </si>
  <si>
    <t>Gomez et al 2025a</t>
  </si>
  <si>
    <t>Gómez, N., Lowe, D., Kommescher, S. and Mills, A. 2025. Unraveling recycling and climate influence on detrital U-Pb geochronology of titanite and apatite: An example from the Gaskiers Glaciation in Newfoundland. Precambrian Research, 427, 107871, https://doi.org/10.1016/j.precamres.2025.107871.</t>
  </si>
  <si>
    <t>Gomez et al 2025b</t>
  </si>
  <si>
    <t>Gómez, N., Lowe, D., Mills, A., Kommescher, S. and Lam, R. 2025. Interplay of Ediacaran glaciation and sediment provenance revealed by detrital zircon U-Pb geochronology and Hf isotope geochemistry in the Bonavista Peninsula (Newfoundland). GSA Bulletin, https://doi.org/10.1130/B38347.1.</t>
  </si>
  <si>
    <t>Likely pre-Cambrian; undulating surface expressed on Archaean gneiss</t>
  </si>
  <si>
    <t>Swett, K. 1981. F22. A probable sub-Cambrian glacial erosional surface in southern Labrador and eastern Quebec. In: Hambrey, M. J. and Harland, W. B. (eds) Earth’s Pre-Pleistocene Glacial Record. 771–772.</t>
  </si>
  <si>
    <t>Bagongshan</t>
  </si>
  <si>
    <t>Xiaomeiyao</t>
  </si>
  <si>
    <t>Unconformity between Fengtai Formation and overlying Cambrian Series 2 Houjiashan Formation</t>
  </si>
  <si>
    <t>GT-5</t>
  </si>
  <si>
    <t>Sample 002026</t>
  </si>
  <si>
    <t>Zircon U-Pb CA-TIMS date from a rhyodacite beneath the diamictite</t>
  </si>
  <si>
    <t>Zircon U-Pb CA-TIMS date from hyaloclastic rhyodacite interbedded with the diamictite</t>
  </si>
  <si>
    <t>Croles Hill Diamictite</t>
  </si>
  <si>
    <t>Keppel Creek</t>
  </si>
  <si>
    <t>Calver et al 2026</t>
  </si>
  <si>
    <t>Hyaloclastic rhyodacite interbedded with diamictite</t>
  </si>
  <si>
    <t>Rhyodacite underlying the diamictite</t>
  </si>
  <si>
    <t>Mills et al 2017</t>
  </si>
  <si>
    <t>Gomez et al 2025</t>
  </si>
  <si>
    <t>Gomez et al 2026</t>
  </si>
  <si>
    <t>Sample 15AM125</t>
  </si>
  <si>
    <t>Sample 15AM201</t>
  </si>
  <si>
    <t>U-Pb CA-TIMS date from a tuff in Plate Cove Formation underlying the diamictite</t>
  </si>
  <si>
    <t>Bull Arm</t>
  </si>
  <si>
    <t>Plate Cove</t>
  </si>
  <si>
    <t>From formation beneath the diamictite-bearing units</t>
  </si>
  <si>
    <t>Following dates and correlations of Gomez et al 2025a,b, 2026</t>
  </si>
  <si>
    <t>Mercantile Diamictite</t>
  </si>
  <si>
    <t>Knight, I., Boyce, W.D., Skovsted, C. and Balthasar, U. 2017. The Lower Cambrian Forteau Formation, Southern Labrador and Great Northern Peninsula, Western Newfoundland: Lithostratigraphy, Trilobites, and Depositional Setting. Occasional Papers 2017–01Government of Newfoundland and Labrador, Department of Natural Resources, Geological Survey, St. John’s.</t>
  </si>
  <si>
    <t>Calver, C.R., Cumming, G.V., Halverson, G.P., Crowley, J.L., Roberts, N.J. and Schmitz, M. 2026. High-resolution U-Pb dating of the Croles Hill Diamictite, Tasmania: Near-synchroneity of widely separated mid-Ediacaran glacial deposits. Precambrian Research, 432, 107958, https://doi.org/10.1016/j.precamres.2025.107958.</t>
  </si>
  <si>
    <t>Mills, A.J., Dunning, G.R., Murphy, M. and Langille, A. 2017. New Geochronological Constraints on the Timing of Magmatism for the Bull Arm Formation, Musgravetown Group, Avalon Terrane, Northeastern Newfoundland. Geological Survey Report 17–1Current Research: Newfoundland and Labrador Department of Natural Resources.</t>
  </si>
  <si>
    <t>Gómez, N., Lowe, D., Mills, A., Slaney, N. and Arnott, R.W.C. 2026. Ediacaran proximal glaciomarine sedimentation in the Bonavista Peninsula, Avalon Zone, Newfoundland, Canada. Journal of Sedimentary Research, 96, 130–157, https://doi.org/10.2110/jsr.2025.022.</t>
  </si>
  <si>
    <t>WH01: ★★★☆☆ rhythmically banded shales (possibly varves), and diamictite with rounded to angular clasts from 3 lithological groups, some of which are facetted.</t>
  </si>
  <si>
    <t>Wong Hearing, T.W., Tindal, B.H., et al. 2026. Ediacaran coupling of climate and biosphere dynamics. GSA Bulletin, accepted.</t>
  </si>
  <si>
    <t>WH02</t>
  </si>
  <si>
    <t>Wong Hearing, T.W., Pohl, A., Vandyk, T.M., et al. 2026. A Phanerozoic-style icehouse climate in the middle Ediacaran. EGUSphere</t>
  </si>
  <si>
    <t>Insufficient information published at time of submission</t>
  </si>
  <si>
    <t>Maximum age of the Trinity diamictite and corresponding minimum age for the Mercantile diamictite</t>
  </si>
  <si>
    <t>Sample 2019TA010</t>
  </si>
  <si>
    <t>Zhu et al 2021</t>
  </si>
  <si>
    <t>Zhu, G.-Y., Chen, Z.-Y., Chen, W.-Y., Yan, H.-H. and Zhang, P.-H. 2021. Revisiting to the Neoproterozoic tectonic evolution of the Tarim Block, NW China. Precambrian Research, 352, 106013, https://doi.org/10.1016/j.precamres.2020.106013.</t>
  </si>
  <si>
    <t>Sample from Hankalchough Formation tillite</t>
  </si>
  <si>
    <t>Detrital zircon LA-ICP-MS date on 24 concordant zircons provide a maximum depositional age estimate for the Hankalchough Formation</t>
  </si>
  <si>
    <t>WH01: see Supplementary Information</t>
  </si>
  <si>
    <t>U6</t>
  </si>
  <si>
    <t>Koiiva Formation</t>
  </si>
  <si>
    <t>Tindal 2023; retained as low score may reflect lack of published detail</t>
  </si>
  <si>
    <t xml:space="preserve">WH01: ☆☆☆☆☆. Included here because it was included in a recent compilation. Rated 0 following Tindal 2023 methodology as it was not interpreted as potentially glaciogenic in studies with primary sedimentology data. </t>
  </si>
  <si>
    <t>West Belarus</t>
  </si>
  <si>
    <t>Vilchanka</t>
  </si>
  <si>
    <t>Glussk</t>
  </si>
  <si>
    <t>Glusk Formation</t>
  </si>
  <si>
    <t>Bialystok</t>
  </si>
  <si>
    <t>Zukow</t>
  </si>
  <si>
    <t>Campanha, G.A.C., Basei, M.S., Tassinari, C.C.G., Nutman, A.P. and Faleiros, F.M. 2008. Constraining the age of the Iporanga Formation with SHRIMP U-Pb zircon: Implications for possible Ediacaran glaciation in the Ribeira Belt, SE Brazil. Gondwana Research, 13, 117–125, https://doi.org/10.1016/j.gr.2007.05.010.</t>
  </si>
  <si>
    <t>South Parana</t>
  </si>
  <si>
    <t>Acungui</t>
  </si>
  <si>
    <t>Niu, Y., Shi, G.R., Zhang, Q., Jones, B.G., Wang, X. and Zhao, G. 2024. Ediacaran Cordilleran-type mountain ice sheets and their erosion effects. Earth-Science Reviews, 249, 104671, https://doi.org/10.1016/j.earscirev.2023.104671.</t>
  </si>
  <si>
    <t>date_id</t>
  </si>
  <si>
    <t>Williams, G.E. and Schmidt, P.W. 2018. Shuram–Wonoka carbon isotope excursion: Ediacaran revolution in the world ocean’s meridional overturning circulation. Geoscience Frontiers, 9, 391–402, https://doi.org/10.1016/j.gsf.2017.11.006.</t>
  </si>
  <si>
    <t>Williams, G.E. and Schmidt, P.W. 2021. Dating the Acraman asteroid impact, South Australia: the case for deep drilling the ‘hot shock’ zone of the central uplift. Australian Journal of Earth Sciences, 68, 355–367, https://doi.org/10.1080/08120099.2020.1808066.</t>
  </si>
  <si>
    <t>Álvaro, J.J., Cortijo, I., Jensen, S., Lorenzo, S. and Pieren, A.P. 2019. Updated stratigraphic framework and biota of the Ediacaran and Terreneuvian in the Alcudia-Toledo Mountains of the Central Iberian Zone, Spain. Estudios Geológicos, 75, e093–e093, https://doi.org/10.3989/egeol.43620.548.</t>
  </si>
  <si>
    <t>Asanuma, H., Fujisaki, W., et al. 2017. New isotopic age data constrain the depositional age and accretionary history of the Neoproterozoic-Ordovician Mona Complex (Anglesey-Lleyn, Wales). Tectonophysics, 706–707, 164–195, https://doi.org/10.1016/j.tecto.2017.03.017.</t>
  </si>
  <si>
    <t>Bailey, C.M. and Peters, S.E. 1998. Glacially influenced sedimentation in the late Neoproterozoic Mechum River Formation, Blue Ridge province, Virginia. Geology, 26, 623–626, https://doi.org/10.1130/0091-7613(1998)026%253C0623:GISITL%253E2.3.CO;2.</t>
  </si>
  <si>
    <t>Beckinsale, R.D. and Thorpe, R.S. 1979. Rubidium-strontium whole-rock isochron evidence for the age of metamorphism and magmatism in the Mona Complex of Anglesey. Journal of the Geological Society, 136, 433–439, https://doi.org/10.1144/gsjgs.136.4.0433.</t>
  </si>
  <si>
    <t>Blanco, G. and Gaucher, C. 2005. Estratigrafia, paleontologia y edad de la Formacion Las Ventanas (Neoproterozoico, Uruguay). Latin American journal of sedimentology and basin analysis, 12, 109–124.</t>
  </si>
  <si>
    <t>Brown, A.V. 1986. Geology of the Dundas-Mt Youngbuck Area, Western Tasmania : The Stratigraphy and Structure of the Regional Geology, and the Petrology, Chemistry and Petrogenesis of the Ultramafic-Mafic Complexes in the Dundas-Mt Youngbuck Area of Western Tasmania. thesis, University of Tasmania., https://doi.org/10.25959/23237129.v1.</t>
  </si>
  <si>
    <t>Brown, A.V. 1986. Geology of the Dundas–Mount Lindsay–Mount Youngbuck Region. Geological Survey of Tasmania Bulletin 62.</t>
  </si>
  <si>
    <t>Carto, S.L. and Eyles, N. 2011. Chapter 42 The deep-marine glaciogenic Gaskiers Formation, Newfoundland, Canada. Geological Society, London, Memoirs, 36, 467–473, https://doi.org/10.1144/M36.42.</t>
  </si>
  <si>
    <t>Carto, S.L. and Eyles, N. 2012. Sedimentology of the Neoproterozoic (c. 580 Ma) Squantum ‘Tillite’, Boston Basin, USA: Mass flow deposition in a deep-water arc basin lacking direct glacial influence. Sedimentary Geology, 269–270, 1–14, https://doi.org/10.1016/j.sedgeo.2012.03.011.</t>
  </si>
  <si>
    <t>Chumakov, N.M. 2007. Climates and climate zonality of the Vendian: geological evidence. Geological Society, London, Special Publications, 286, 15–26, https://doi.org/10.1144/SP286.2.</t>
  </si>
  <si>
    <t>Chumakov, N.M. 2009. The Baykonurian glaciohorizon of the Late Vendian. Stratigraphy and Geological Correlation, 17, 373–381, https://doi.org/10.1134/S0869593809040029.</t>
  </si>
  <si>
    <t>Chumakov, N.M., Pokrovskii, B.G. and Maslov, A.V. 2013. Stratigraphic position and significance of carbonate rocks related to neoproterozoic glacial horizons of the Urals. Stratigraphy and Geological Correlation, 21, 573–591, https://doi.org/10.1134/S0869593813060038.</t>
  </si>
  <si>
    <t>Collins, A.S. and Buchan, C. 2004. Provenance and age constraints of the South Stack Group, Anglesey, UK: U–Pb SIMS detrital zircon data. Journal of the Geological Society, 161, 743–746, https://doi.org/10.1144/0016-764904-036.</t>
  </si>
  <si>
    <t>Compston, W., Williams, I.S., Jenkins, R.J.F., Gostin, V.A. and Haines, P.W. 1987. Zircon age evidence for the Late Precambrian Acraman ejecta blanket. Australian Journal of Earth Sciences, 34, 435–445, https://doi.org/10.1080/08120098708729424.</t>
  </si>
  <si>
    <t>Corkeron, M. 2011. Chapter 65. Neoproterozoic glacial deposits of the Kimberly Region and northwestern Northern Territory, Australia. In: Arnaud, E., Halverson, G. P. and Shields-Zhou, G. (eds) The Geological Record of Neoproterozoic Glaciations. 0., https://doi.org/10.1144/M36.65.</t>
  </si>
  <si>
    <t>Crawford, A.J. and Berry, R.F. 1992. Tectonic implications of Late Proterozoic-Early Palaeozoic igneous rock associations in western Tasmania. Tectonophysics, 214, 37–56, https://doi.org/10.1016/0040-1951(92)90189-D.</t>
  </si>
  <si>
    <t>Direen, N.G. and Jago, J.B. 2008. The Cottons Breccia (Ediacaran) and its tectonostratigraphic context within the Grassy Group, King Island, Australia: A rift-related gravity slump deposit. Precambrian Research, 165, 1–14, https://doi.org/10.1016/j.precamres.2008.05.008.</t>
  </si>
  <si>
    <t>Dott, R.H., Jr. 1961. Squantum “Tillite”, Massachusetts—Evidence of Glaciation or Subaqueous Mass Movements? GSA Bulletin, 72, 1289–1305, https://doi.org/10.1130/0016-7606(1961)72%255B1289:STMOGO%255D2.0.CO;2.</t>
  </si>
  <si>
    <t>Errami, E., Linnemann, U., et al. 2021. From Pan-African Transpression to Cadomian Transtension at the West African Margin: New U–Pb zircon Ages from the Eastern Saghro Inlier (Anti-Atlas, Morocco). Geological Society, London, Special Publications, 503, 209–233, https://doi.org/10.1144/SP503-2020-105.</t>
  </si>
  <si>
    <t>Everard, J.L., Seymour, D.B., Reed, A.R., McClenaghan, M.P., Green, D.C., Calver, C.R. and Brown, A.V. 2007. Regional Geology of the Southern Smithton Synclinorium: Explanatory Report for the Roger, Sumac and Dempster 1:25,000 Map Sheets, Far Northwestern Tasmania. 21:25,000 Scale Digital Geological Map Series Explanatory Report.</t>
  </si>
  <si>
    <t>Eyles, N. and Eyles, C.H. 1989. Glacially-influenced deep-marine sedimentation of the Late Precambrian Gaskiers Formation, Newfoundland, Canada. Sedimentology, 36, 601–620, https://doi.org/10.1111/j.1365-3091.1989.tb02088.x.</t>
  </si>
  <si>
    <t>Figueiredo, M.F., Babinski, M. and Alvarenga, C.J.S. 2011. Chapter 46 The Serra Azul Formation, Paraguay Belt, Brazil. Geological Society, London, Memoirs, 36, 499–502, https://doi.org/10.1144/M36.46.</t>
  </si>
  <si>
    <t>Fölling, P.G., Zartman, R.E. and Frimmel, H.E. 2000. A novel approach to double-spike Pb–Pb dating of carbonate rocks: examples from Neoproterozoic sequences in southern Africa. Chemical Geology, 171, 97–122, https://doi.org/10.1016/S0009-2541(00)00204-7.</t>
  </si>
  <si>
    <t>Frimmel, H.E. and Fölling, P.G. 2004. Late Vendian Closure of the Adamastor Ocean: Timing of Tectonic Inversion and Syn-orogenic Sedimentation in the Gariep Basin. Gondwana Research, 7, 685–699, https://doi.org/10.1016/S1342-937X(05)71056-X.</t>
  </si>
  <si>
    <t>Frimmel, H.E. and Frank, W. 1998. Neoproterozoic tectono-thermal evolution of the Gariep Belt and its basement, Namibia and South Africa. Precambrian Research, 90, 1–28, https://doi.org/10.1016/S0301-9268(98)00029-1.</t>
  </si>
  <si>
    <t>Frimmel, H.E. 2011. Chapter 16. The Chameis Gate Member, Chameis Group, Marmora Terrane, Namibia. In: Arnaud, E., Halverson, G. P. and Shields-Zhou, G. (eds) The Geological Record of Neoproterozoic Glaciations. 0., https://doi.org/10.1144/M36.16.</t>
  </si>
  <si>
    <t>Haines, P. 1986. The upper Wilpena Group at Bunyeroo Gorge - a one day excursion. In: Gostin, V. A. (ed.) Proterozoic Clastic Sedmentation in Relation to Glaciations and Tectonism, Flinders Ranges, South Australia. 12th International Sedimentological Congress Excursion 27B, A8–A11.</t>
  </si>
  <si>
    <t>Hanley, L.M. and Wingate, M.T.D. 2000. SHRIMP zircon age for an Early Cambrian dolerite dyke: An intrusive phase of the Antrim Plateau Volcanics of northern Australia. Australian Journal of Earth Sciences, 47, 1029–1040, https://doi.org/10.1046/j.1440-0952.2000.00829.x.</t>
  </si>
  <si>
    <t>He, J., Zhu, W., Zheng, B., Wu, H., Cui, X. and Lu, Y. 2015. Neoproterozoic diamictite-bearing sedimentary rocks in the northern Yili Block and their constraints on the Precambrian evolution of microcontinents in the Western Central Asian Orogenic Belt. Tectonophysics, 665, 23–36, https://doi.org/10.1016/j.tecto.2015.09.021.</t>
  </si>
  <si>
    <t>He, J., Zhu, W. and Ge, R. 2014. New age constraints on Neoproterozoic diamicites in Kuruktag, NW China and Precambrian crustal evolution of the Tarim Craton. Precambrian Research, 241, 44–60, https://doi.org/10.1016/j.precamres.2013.11.005.</t>
  </si>
  <si>
    <t>Ingle, S., Mueller, P.A., Heatherington, A.L. and Kozuch, M. 2003. Isotopic evidence for the magmatic and tectonic histories of the Carolina terrane: implications for stratigraphy and terrane affiliation. Tectonophysics, 371, 187–211, https://doi.org/10.1016/S0040-1951(03)00228-2.</t>
  </si>
  <si>
    <t>Jenkins, R.J.F. 2011. Chapter 68 Billy Springs glaciation, South Australia. Geological Society, London, Memoirs, 36, 693–699, https://doi.org/10.1144/M36.68.</t>
  </si>
  <si>
    <t>Kheraskova, T.N. 1981. C24. Late Precambrian Baykonur tilloid in the loop of the Ishim River, north Kazakhstan, U.S.S.R. In: Hambrey, M. J. and Harland, W. B. (eds) Earth’s Pre-Pleistocene Glacial Record. 356–357.</t>
  </si>
  <si>
    <t>Krogh, T.E., Strong, D.F., O’Brien, S.J. and Papezik, V.S. 1988. Precise U–Pb zircon dates from the Avalon Terrane in Newfoundland. Canadian Journal of Earth Sciences, 25, 442–453, https://doi.org/10.1139/e88-045.</t>
  </si>
  <si>
    <t>Lahondère, D., Roger, J., et al. 2005. Notice explicative des cartes géologiques à 1/200 000 et 1/500 000 de l’extrême sud de la Mauritanie. Rapport BRGM RC-54273-FR.</t>
  </si>
  <si>
    <t>Lamoso, I.S.M., Babinski, M., Caetano-Filho, S., Paula-Santos, G.M. and Hollanda, M.H.B.M. 2023. A Record of the Snowball Earth Events? The Parecis Basin May Encompass Three Major Neoproterozoic Glaciations on the Amazonian Craton. Journal of South American Earth Sciences, 127, 104411, https://doi.org/10.1016/j.jsames.2023.104411.</t>
  </si>
  <si>
    <t>McCall, G.J.H. 2006. The Vendian (Ediacaran) in the geological record: Enigmas in geology’s prelude to the Cambrian explosion. Earth-Science Reviews, 77, 1–229, https://doi.org/10.1016/j.earscirev.2005.08.004.</t>
  </si>
  <si>
    <t>McCay, G.A., Prave, A.R., Alsop, G.I. and Fallick, A.E. 2006. Glacial trinity: Neoproterozoic Earth history within the British-Irish Caledonides. Geology, 34, 909–912, https://doi.org/10.1130/G22694A.1.</t>
  </si>
  <si>
    <t>McGee, B., Collins, A.S. and Trindade, R.I.F. 2013. A Glacially Incised Canyon in Brazil: Further Evidence for Mid-Ediacaran Glaciation? The Journal of Geology, 121, 275–287, https://doi.org/10.1086/669979.</t>
  </si>
  <si>
    <t>McGee, B., Collins, A.S., Trindade, R.I.F. and Jourdan, F. 2015. Investigating mid-Ediacaran glaciation and final Gondwana amalgamation using coupled sedimentology and 40Ar/ 39Ar detrital muscovite provenance from the Paraguay Belt, Brazil. Sedimentology, 62, 130–154, https://doi.org/10.1111/sed.12143.</t>
  </si>
  <si>
    <t>McGee, B., Collins, A.S., Trindade, R.I.F. and Payne, J. 2015. Age and provenance of the Cryogenian to Cambrian passive margin to foreland basin sequence of the northern Paraguay Belt, Brazil. GSA Bulletin, 127, 76–86, https://doi.org/10.1130/B30842.1.</t>
  </si>
  <si>
    <t>Mohseni, S. and Aftabi, A. 2015. Structural, textural, geochemical and isotopic signatures of synglaciogenic Neoproterozoic banded iron formations (BIFs) at Bafq mining district (BMD), Central Iran: The possible Ediacaran missing link of BIFs in Tethyan metallogeny. Ore Geology Reviews, 71, 215–236, https://doi.org/10.1016/j.oregeorev.2015.05.018.</t>
  </si>
  <si>
    <t>Normore, L.S. 2011. Preliminary Findings on the Geology of the Trinity Map Area (NTS 2C/06), Newfoundland. Geological Survey Report 11–1Current Research: Newfoundland and Labrador Department of Natural Resources.</t>
  </si>
  <si>
    <t>Ouyang, Q., Zhou, C., Xiao, S., Chen, Z. and Shao, Y. 2019. Acanthomorphic acritarchs from the Ediacaran Doushantuo Formation at Zhangcunping in South China, with implications for the evolution of early Ediacaran eukaryotes. Precambrian Research, 320, 171–192, https://doi.org/10.1016/j.precamres.2018.10.012.</t>
  </si>
  <si>
    <t>Oyhantçabal, P., Siegesmund, S., Wemmer, K. and Naumann, R. 2006. Age and geochemical signature of post-collisional plutons of the southern extreme of the Dom Feliciano Belt (Uruguay). In: Short Papers – South American Symposium on Isotope Geology. 148.</t>
  </si>
  <si>
    <t>Page, R. and Sun, S.S. 1994. Evolution of the Kimberley region, W.A. and adjacent Proterozoic inliers – new geochronological contraints. In: Geological Society of Australia Abstracts – Geological Society of Australia. 32–33.</t>
  </si>
  <si>
    <t>Palacios, T. 2024. The oldest fossil record in the Iberian Peninsula; lower Ediacaran acritarchs of the Tentudía Formation, Ossa-Morena Zone (OMZ), Southwest Iberian Massif. Journal of Iberian Geology, https://doi.org/10.1007/s41513-024-00266-6.</t>
  </si>
  <si>
    <t>Poiré, D.G. and Gaucher, C. 2009. Chapter 4.2 Lithostratigraphy. In: Gaucher, C., Sial, A. N., Frimmel, H. E. and Halverson, G. P. (eds) Developments in Precambrian Geology. Neoproterozoic-Cambrian Tectonics, Global Change And Evolution: A Focus On South Western Gondwana, 87–101., https://doi.org/10.1016/S0166-2635(09)01605-3.</t>
  </si>
  <si>
    <t>Priyatkina, N., Collins, W.J., Khudoley, A.K., Letnikova, E.F. and Huang, H.-Q. 2018. The Neoproterozoic evolution of the western Siberian Craton margin: U-Pb-Hf isotopic records of detrital zircons from the Yenisey Ridge and the Prisayan Uplift. Precambrian Research, 305, 197–217, https://doi.org/10.1016/j.precamres.2017.12.014.</t>
  </si>
  <si>
    <t>Puchkov, V.N. 2010. Geologiya Urala i Priural’ya (Geology of the Urals and Cis-Urals - actual problems of stratigraphy, tectonics, geodynamics and metallogeny).</t>
  </si>
  <si>
    <t>Sánchez Bettucci, L. and Linares, E. 1996. Primeras edades en Basaltos del Complejo Sierra de las Animas. XIII Congreso Geológico Argentino y III Congreso de Exploración de Hidrocarburos, Actas, 1, 399–404.</t>
  </si>
  <si>
    <t>Sayles, S.D. 1914. The Squantum Tillite. Museum of Comparative Zoology Bulletin, 66, 141–175.</t>
  </si>
  <si>
    <t>Shields, G.A., Deynoux, M., Strauss, H., Paquet, H. and Nahon, D. 2007. Barite-bearing cap dolostones of the Taoudéni Basin, northwest Africa: Sedimentary and isotopic evidence for methane seepage after a Neoproterozoic glaciation. Precambrian Research, 153, 209–235, https://doi.org/10.1016/j.precamres.2006.11.011.</t>
  </si>
  <si>
    <t>Shields, G.A., Deynoux, M., Culver, S.J., Brasier, M.D., Affaton, P. and Vandamme, D. 2007. Neoproterozoic glaciomarine and cap dolostone facies of the southwestern Taoudéni Basin (Walidiala Valley, Senegal/Guinea, NW Africa). Comptes Rendus Geoscience, 339, 186–199, https://doi.org/10.1016/j.crte.2006.10.002.</t>
  </si>
  <si>
    <t>Shields et al 2007a</t>
  </si>
  <si>
    <t>Shields et al 2007b</t>
  </si>
  <si>
    <t>Socci, A.D. and Smith, G.W. 1990. Stratigraphic implications of facies within the Boston Basin. In: Socci, A. D., Skehan, J. W. and Smith, G. W. (eds) Geology of the Composite Avalon Terrane of Southern New England. 0., https://doi.org/10.1130/SPE245-p55.</t>
  </si>
  <si>
    <t>Southworth, S., Tollo, R.P., et al. 2009. New geologic map and geochronology of the Shenandoah National Park region, Virginia. In: Geological Society of America Abstracts with Programs. 365.</t>
  </si>
  <si>
    <t>Talavera, C., Martínez Poyatos, D. and González Lodeiro, F. 2015. SHRIMP U–Pb geochronological constraints on the timing of the intra-Alcudian (Cadomian) angular unconformity in the Central Iberian Zone (Iberian Massif, Spain). International Journal of Earth Sciences, 104, 1739–1757, https://doi.org/10.1007/s00531-015-1171-5.</t>
  </si>
  <si>
    <t>Tierney, F.L., Billings, M.P. and Cassidy, M.M. 1968. Geology of the city tunnel, Greater Boston, Massachusetts. Boston Society of Civil Engineers, 55, 60–96.</t>
  </si>
  <si>
    <t>Tollo, R.P. and Aleinikoff, J.N. 1996. Petrology and U-Pb geochronology of the Robertson River igneous suite, Blue Ridge Province, Virginia; evidence for multistage magmatism associated with an early episode of Laurentian rifting. American Journal of Science, 296, 1045–1090, https://doi.org/10.2475/ajs.296.9.1045.</t>
  </si>
  <si>
    <t>Wallace, M., Gostin, V. and Keays, R. 1996. Sedimentology of the Neoproterozoic Acraman impact-ejecta horizon, South Australia. AGSO Journal of Australian Geology and Geophysics, 16, 443–451.</t>
  </si>
  <si>
    <t>Wang, J., Cheng, S., Bai, W. and Wang. 1983. Glacigenous strata in the western part of the northern Tianshan Mountains. In: Precambrian Geology. Collected Works of Late Precambrian Glacigenous Rocks in China1, 105–118.</t>
  </si>
  <si>
    <t>Wang, X., Zhang, X. and Liu, W. 2021. Biostratigraphic constraints on the age of Neoproterozoic glaciation in North China. Journal of Asian Earth Sciences, 219, 104894, https://doi.org/10.1016/j.jseaes.2021.104894.</t>
  </si>
  <si>
    <t>Webb, A.W., Coats, R.P., Fanning, C.M. and Flint, R.B. 1983. Geochronological framework of the Adelaide Geosyncline. In: Geological Society of Australia Abstracts. 7–9.</t>
  </si>
  <si>
    <t>Wehr, F. and Glover, L.I. 1985. Stratigraphy and tectonics of the Virginia–North Carolina Blue Ridge: Evolution of a late Proterozoic–early Paleozoic hinge zone. GSA Bulletin, 96, 285–295, https://doi.org/10.1130/0016-7606(1985)96%253C285:SATOTV%253E2.0.CO;2.</t>
  </si>
  <si>
    <t>Xiao, S., Bao, H., et al. 2004. The Neoproterozoic Quruqtagh Group in eastern Chinese Tianshan: evidence for a post-Marinoan glaciation. Precambrian Research, 130, 1–26, https://doi.org/10.1016/j.precamres.2003.10.013.</t>
  </si>
  <si>
    <t>Xu, B., Xiao, S., et al. 2009. SHRIMP zircon U–Pb age constraints on Neoproterozoic Quruqtagh diamictites in NW China. Precambrian Research, 168, 247–258, https://doi.org/10.1016/j.precamres.2008.10.008.</t>
  </si>
  <si>
    <t>Yao, J., Xiao, S., Yin, L., Li, G. and Yuan, X. 2005. Basal Cambrian Microfossils from the Yurtus and Xishanblaq Formations (tarim, North-West China): Systematic Revision and Biostratigraphic Correlation of Micrhystridium-Like Acritarchs. Palaeontology, 48, 687–708, https://doi.org/10.1111/j.1475-4983.2005.00484.x.</t>
  </si>
  <si>
    <t>Youbi, N., Ernst, R.E., et al. 2020. The Central Iapetus magmatic province: An updated review and link with the ca. 580 Ma Gaskiers glaciation. In: Adatte, T., Bond, D. P. G. and Keller, G. (eds) Mass Extinctions, Volcanism, and Impacts: New Developments. Geological Society of America Special Paper544, 0., https://doi.org/10.1130/2020.2544(02).</t>
  </si>
  <si>
    <t>Young, T. 1995. The Bunyeroo Formation and Its Possible Cold-Water Marine Setting. BSc (Honours) thesis, University of Adelaide.</t>
  </si>
  <si>
    <t>Zhao, X.S., Zou, Z.H., Niu, D.Y., Zhang, R.L., Zhang, L.Y. and Wang, S.X. 1984. The Sinian system and its glacial deposits in Beishan district. Bulletin of the Xi’an Institute of Geology and Mineral Resources, 7, 29–37.</t>
  </si>
  <si>
    <t>Zhu, M. and Wang, H. 2011. Chapter 33. Neoproterozoic glaciogenic diamictites of the Tarim Block, NW China. In: Arnaud, E., Halverson, G. P. and Shields-Zhou, G. (eds) The Geological Record of Neoproterozoic Glaciations. 0., https://doi.org/10.1144/M36.33.</t>
  </si>
  <si>
    <t>average_longitude</t>
  </si>
  <si>
    <t>average_latitude</t>
  </si>
  <si>
    <t>Corkeron &amp; George 2001</t>
  </si>
  <si>
    <t>Corkeron, M.L. and George, A.D. 2001. Glacial incursion on a Neoproterozoic carbonate platform in the  Kimberley region, Australia. GSA Bulletin, 113, 1121–1132, https://doi.org/10.1130/0016-7606(2001)113%253C1121:GIOANC%253E2.0.CO;2.</t>
  </si>
  <si>
    <t>Mount Ramsay</t>
  </si>
  <si>
    <t>Louisa Downs</t>
  </si>
  <si>
    <t>Bafq mining district</t>
  </si>
  <si>
    <t>Karatau</t>
  </si>
  <si>
    <t>Karatua</t>
  </si>
  <si>
    <t>Ulutau</t>
  </si>
  <si>
    <t>Rang</t>
  </si>
  <si>
    <t>Dzhetym</t>
  </si>
  <si>
    <t>Dzhetymtay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</si>
</sst>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
  </numFmts>
  <fonts count="5" x14ac:knownFonts="1">
    <font>
      <sz val="11"/>
      <color theme="1"/>
      <name val="Calibri"/>
      <family val="2"/>
      <scheme val="minor"/>
    </font>
    <font>
      <b/>
      <sz val="11"/>
      <color theme="1"/>
      <name val="Calibri"/>
      <family val="2"/>
      <scheme val="minor"/>
    </font>
    <font>
      <sz val="8"/>
      <name val="Calibri"/>
      <family val="2"/>
      <scheme val="minor"/>
    </font>
    <font>
      <sz val="10"/>
      <name val="Arial"/>
      <family val="2"/>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23">
    <xf numFmtId="0" fontId="0" fillId="0" borderId="0" xfId="0"/>
    <xf numFmtId="0" fontId="1" fillId="0" borderId="0" xfId="0" applyFont="1"/>
    <xf numFmtId="0" fontId="1" fillId="0" borderId="0" xfId="0" applyFont="1" applyAlignment="1">
      <alignment horizontal="left"/>
    </xf>
    <xf numFmtId="0" fontId="0" fillId="0" borderId="0" xfId="0" applyAlignment="1">
      <alignment horizontal="left"/>
    </xf>
    <xf numFmtId="0" fontId="0" fillId="0" borderId="0" xfId="0" applyAlignment="1">
      <alignment horizontal="right"/>
    </xf>
    <xf numFmtId="2" fontId="0" fillId="0" borderId="0" xfId="0" applyNumberFormat="1" applyAlignment="1">
      <alignment horizontal="right"/>
    </xf>
    <xf numFmtId="2" fontId="0" fillId="0" borderId="0" xfId="0" applyNumberFormat="1"/>
    <xf numFmtId="164" fontId="1" fillId="0" borderId="0" xfId="0" applyNumberFormat="1" applyFont="1" applyAlignment="1">
      <alignment horizontal="left"/>
    </xf>
    <xf numFmtId="0" fontId="0" fillId="0" borderId="0" xfId="0" applyAlignment="1">
      <alignment horizontal="left" vertical="top"/>
    </xf>
    <xf numFmtId="0" fontId="0" fillId="0" borderId="0" xfId="0" applyAlignment="1">
      <alignment horizontal="right" vertical="top"/>
    </xf>
    <xf numFmtId="0" fontId="0" fillId="0" borderId="0" xfId="0" applyAlignment="1">
      <alignment vertical="top"/>
    </xf>
    <xf numFmtId="2" fontId="0" fillId="0" borderId="0" xfId="0" applyNumberFormat="1" applyAlignment="1">
      <alignment horizontal="right" vertical="top"/>
    </xf>
    <xf numFmtId="2" fontId="0" fillId="0" borderId="0" xfId="0" applyNumberFormat="1" applyAlignment="1">
      <alignment horizontal="left" vertical="top"/>
    </xf>
    <xf numFmtId="2" fontId="0" fillId="0" borderId="0" xfId="0" applyNumberFormat="1" applyAlignment="1">
      <alignment horizontal="left"/>
    </xf>
    <xf numFmtId="2" fontId="1" fillId="0" borderId="0" xfId="0" applyNumberFormat="1" applyFont="1" applyAlignment="1">
      <alignment horizontal="left"/>
    </xf>
    <xf numFmtId="0" fontId="0" fillId="0" borderId="0" xfId="0" applyAlignment="1">
      <alignment horizontal="left" vertical="center"/>
    </xf>
    <xf numFmtId="2" fontId="0" fillId="0" borderId="0" xfId="0" applyNumberFormat="1" applyAlignment="1">
      <alignment horizontal="right" vertical="center"/>
    </xf>
    <xf numFmtId="2" fontId="0" fillId="0" borderId="0" xfId="0" applyNumberFormat="1" applyAlignment="1">
      <alignment vertical="center"/>
    </xf>
    <xf numFmtId="0" fontId="4" fillId="0" borderId="0" xfId="0" applyFont="1"/>
    <xf numFmtId="165" fontId="0" fillId="0" borderId="0" xfId="0" applyNumberFormat="1" applyAlignment="1">
      <alignment horizontal="right" vertical="top"/>
    </xf>
    <xf numFmtId="165" fontId="0" fillId="0" borderId="0" xfId="0" applyNumberFormat="1" applyAlignment="1">
      <alignment horizontal="right"/>
    </xf>
    <xf numFmtId="165" fontId="1" fillId="0" borderId="0" xfId="0" applyNumberFormat="1" applyFont="1"/>
    <xf numFmtId="2" fontId="1" fillId="0" borderId="0" xfId="0" applyNumberFormat="1" applyFont="1"/>
  </cellXfs>
  <cellStyles count="2">
    <cellStyle name="Normal" xfId="0" builtinId="0"/>
    <cellStyle name="Normal 4" xfId="1" xr:uid="{86746790-7E57-4409-9813-A87A55EC22AE}"/>
  </cellStyles>
  <dxfs count="5">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rgb="FFFF8F8F"/>
        </patternFill>
      </fill>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ata/ecesd_age_model_database.xlsx" TargetMode="External"/><Relationship Id="rId1" Type="http://schemas.openxmlformats.org/officeDocument/2006/relationships/externalLinkPath" Target="/sites/Team_50e7ef44-cf14-4331-9753-a21980019714/Shared%20Documents/General/Data/ecesd_age_model_databa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ferences"/>
      <sheetName val="sections"/>
      <sheetName val="sections_age_models"/>
      <sheetName val="csl_occurrences"/>
      <sheetName val="csl_deposits"/>
      <sheetName val="csl_age_constraints"/>
      <sheetName val="data_geochemistry"/>
      <sheetName val="data_palaeobiology"/>
      <sheetName val="palaeobiology_taxonomy"/>
    </sheetNames>
    <sheetDataSet>
      <sheetData sheetId="0"/>
      <sheetData sheetId="1"/>
      <sheetData sheetId="2"/>
      <sheetData sheetId="3"/>
      <sheetData sheetId="4">
        <row r="1">
          <cell r="A1" t="str">
            <v>deposit_id</v>
          </cell>
          <cell r="B1" t="str">
            <v>deposit_name</v>
          </cell>
        </row>
        <row r="2">
          <cell r="A2">
            <v>1</v>
          </cell>
          <cell r="B2" t="str">
            <v>Antaq Polymictic Conglomerate</v>
          </cell>
        </row>
        <row r="3">
          <cell r="A3">
            <v>2</v>
          </cell>
          <cell r="B3" t="str">
            <v>Baykonur Formation</v>
          </cell>
        </row>
        <row r="4">
          <cell r="A4">
            <v>3</v>
          </cell>
          <cell r="B4" t="str">
            <v>Biexibastao Formation</v>
          </cell>
        </row>
        <row r="5">
          <cell r="A5">
            <v>4</v>
          </cell>
          <cell r="B5" t="str">
            <v>Billy Springs Formation</v>
          </cell>
        </row>
        <row r="6">
          <cell r="A6">
            <v>5</v>
          </cell>
          <cell r="B6" t="str">
            <v>Blon Formation</v>
          </cell>
        </row>
        <row r="7">
          <cell r="A7">
            <v>6</v>
          </cell>
          <cell r="B7" t="str">
            <v>Boondawari Formation</v>
          </cell>
        </row>
        <row r="8">
          <cell r="A8">
            <v>7</v>
          </cell>
          <cell r="B8" t="str">
            <v>Boord Formation</v>
          </cell>
        </row>
        <row r="9">
          <cell r="A9">
            <v>8</v>
          </cell>
          <cell r="B9" t="str">
            <v>Bradore Formation</v>
          </cell>
        </row>
        <row r="10">
          <cell r="A10">
            <v>9</v>
          </cell>
          <cell r="B10" t="str">
            <v>Bunyeroo Formation</v>
          </cell>
        </row>
        <row r="11">
          <cell r="A11">
            <v>91</v>
          </cell>
          <cell r="B11" t="str">
            <v>Bunyeroo Gorge oolite</v>
          </cell>
        </row>
        <row r="12">
          <cell r="A12">
            <v>10</v>
          </cell>
          <cell r="B12" t="str">
            <v>Chameis Gate Member</v>
          </cell>
        </row>
        <row r="13">
          <cell r="A13">
            <v>11</v>
          </cell>
          <cell r="B13" t="str">
            <v>Churochnaya Formation</v>
          </cell>
        </row>
        <row r="14">
          <cell r="A14">
            <v>12</v>
          </cell>
          <cell r="B14" t="str">
            <v>Clanzschwitz diamictite</v>
          </cell>
        </row>
        <row r="15">
          <cell r="A15">
            <v>13</v>
          </cell>
          <cell r="B15" t="str">
            <v>Cottons Breccia</v>
          </cell>
        </row>
        <row r="16">
          <cell r="A16">
            <v>14</v>
          </cell>
          <cell r="B16" t="str">
            <v>Croles Hill diamictite</v>
          </cell>
        </row>
        <row r="17">
          <cell r="A17">
            <v>15</v>
          </cell>
          <cell r="B17" t="str">
            <v>Dey Dey Mudstone</v>
          </cell>
        </row>
        <row r="18">
          <cell r="A18">
            <v>16</v>
          </cell>
          <cell r="B18" t="str">
            <v>Dhaiqa Formation</v>
          </cell>
        </row>
        <row r="19">
          <cell r="A19">
            <v>17</v>
          </cell>
          <cell r="B19" t="str">
            <v>Doushantuo Formation</v>
          </cell>
        </row>
        <row r="20">
          <cell r="A20">
            <v>18</v>
          </cell>
          <cell r="B20" t="str">
            <v>Doushantuo glendonites</v>
          </cell>
        </row>
        <row r="21">
          <cell r="A21">
            <v>19</v>
          </cell>
          <cell r="B21" t="str">
            <v>Ediacara Member</v>
          </cell>
        </row>
        <row r="22">
          <cell r="A22">
            <v>20</v>
          </cell>
          <cell r="B22" t="str">
            <v>Egan Formation</v>
          </cell>
        </row>
        <row r="23">
          <cell r="A23">
            <v>21</v>
          </cell>
          <cell r="B23" t="str">
            <v>Erga Formation</v>
          </cell>
        </row>
        <row r="24">
          <cell r="A24">
            <v>22</v>
          </cell>
          <cell r="B24" t="str">
            <v>Esfordi Formation</v>
          </cell>
        </row>
        <row r="25">
          <cell r="A25">
            <v>23</v>
          </cell>
          <cell r="B25" t="str">
            <v>Fargoo Formation</v>
          </cell>
        </row>
        <row r="26">
          <cell r="A26">
            <v>24</v>
          </cell>
          <cell r="B26" t="str">
            <v>Fauquier Formation</v>
          </cell>
        </row>
        <row r="27">
          <cell r="A27">
            <v>92</v>
          </cell>
          <cell r="B27" t="str">
            <v>Fengtai Formation</v>
          </cell>
        </row>
        <row r="28">
          <cell r="A28">
            <v>25</v>
          </cell>
          <cell r="B28" t="str">
            <v>Fersiga Group</v>
          </cell>
        </row>
        <row r="29">
          <cell r="A29">
            <v>26</v>
          </cell>
          <cell r="B29" t="str">
            <v>Gaskiers Formation</v>
          </cell>
        </row>
        <row r="30">
          <cell r="A30">
            <v>27</v>
          </cell>
          <cell r="B30" t="str">
            <v>Glussk Formation</v>
          </cell>
        </row>
        <row r="31">
          <cell r="A31">
            <v>28</v>
          </cell>
          <cell r="B31" t="str">
            <v>Granville Formation</v>
          </cell>
        </row>
        <row r="32">
          <cell r="A32">
            <v>29</v>
          </cell>
          <cell r="B32" t="str">
            <v>Gwna Group</v>
          </cell>
        </row>
        <row r="33">
          <cell r="A33">
            <v>30</v>
          </cell>
          <cell r="B33" t="str">
            <v>Hankalchough Formation</v>
          </cell>
        </row>
        <row r="34">
          <cell r="A34">
            <v>31</v>
          </cell>
          <cell r="B34" t="str">
            <v>Helmeth Grits</v>
          </cell>
        </row>
        <row r="35">
          <cell r="A35">
            <v>32</v>
          </cell>
          <cell r="B35" t="str">
            <v>Hongtiegou Formation</v>
          </cell>
        </row>
        <row r="36">
          <cell r="A36">
            <v>33</v>
          </cell>
          <cell r="B36" t="str">
            <v>Hrushka Formation</v>
          </cell>
        </row>
        <row r="37">
          <cell r="A37">
            <v>34</v>
          </cell>
          <cell r="B37" t="str">
            <v>Huckster Conglomerate</v>
          </cell>
        </row>
        <row r="38">
          <cell r="A38">
            <v>35</v>
          </cell>
          <cell r="B38" t="str">
            <v>Inishowen beds</v>
          </cell>
        </row>
        <row r="39">
          <cell r="A39">
            <v>36</v>
          </cell>
          <cell r="B39" t="str">
            <v>Iporanga Formation</v>
          </cell>
        </row>
        <row r="40">
          <cell r="A40">
            <v>37</v>
          </cell>
          <cell r="B40" t="str">
            <v>Ishim River diamictite</v>
          </cell>
        </row>
        <row r="41">
          <cell r="A41">
            <v>38</v>
          </cell>
          <cell r="B41" t="str">
            <v>Izdar Member</v>
          </cell>
        </row>
        <row r="42">
          <cell r="A42">
            <v>90</v>
          </cell>
          <cell r="B42" t="str">
            <v>Johnnie Oolite</v>
          </cell>
        </row>
        <row r="43">
          <cell r="A43">
            <v>39</v>
          </cell>
          <cell r="B43" t="str">
            <v>Kahar Formation</v>
          </cell>
        </row>
        <row r="44">
          <cell r="A44">
            <v>40</v>
          </cell>
          <cell r="B44" t="str">
            <v>Koyva Formation</v>
          </cell>
        </row>
        <row r="45">
          <cell r="A45">
            <v>41</v>
          </cell>
          <cell r="B45" t="str">
            <v>Kurgashlya Formation</v>
          </cell>
        </row>
        <row r="46">
          <cell r="A46">
            <v>42</v>
          </cell>
          <cell r="B46" t="str">
            <v>Landrigan Formation</v>
          </cell>
        </row>
        <row r="47">
          <cell r="A47">
            <v>43</v>
          </cell>
          <cell r="B47" t="str">
            <v>Langmarkberg Formation</v>
          </cell>
        </row>
        <row r="48">
          <cell r="A48">
            <v>44</v>
          </cell>
          <cell r="B48" t="str">
            <v>Las Ventanas Formation</v>
          </cell>
        </row>
        <row r="49">
          <cell r="A49">
            <v>45</v>
          </cell>
          <cell r="B49" t="str">
            <v>Lillfjället Formation</v>
          </cell>
        </row>
        <row r="50">
          <cell r="A50">
            <v>46</v>
          </cell>
          <cell r="B50" t="str">
            <v>Little Burke Tillite</v>
          </cell>
        </row>
        <row r="51">
          <cell r="A51">
            <v>47</v>
          </cell>
          <cell r="B51" t="str">
            <v>Loch na Cille beds</v>
          </cell>
        </row>
        <row r="52">
          <cell r="A52">
            <v>48</v>
          </cell>
          <cell r="B52" t="str">
            <v>Luoquan Formation</v>
          </cell>
        </row>
        <row r="53">
          <cell r="A53">
            <v>49</v>
          </cell>
          <cell r="B53" t="str">
            <v>Lyamtsa Formation</v>
          </cell>
        </row>
        <row r="54">
          <cell r="A54">
            <v>50</v>
          </cell>
          <cell r="B54" t="str">
            <v>Mall Bay Formation</v>
          </cell>
        </row>
        <row r="55">
          <cell r="A55">
            <v>51</v>
          </cell>
          <cell r="B55" t="str">
            <v>Marnya Formation</v>
          </cell>
        </row>
        <row r="56">
          <cell r="A56">
            <v>52</v>
          </cell>
          <cell r="B56" t="str">
            <v>Mechum River Formation</v>
          </cell>
        </row>
        <row r="57">
          <cell r="A57">
            <v>93</v>
          </cell>
          <cell r="B57" t="str">
            <v>Mercantile diamictite</v>
          </cell>
        </row>
        <row r="58">
          <cell r="A58">
            <v>53</v>
          </cell>
          <cell r="B58" t="str">
            <v>Mistaken Point Formation</v>
          </cell>
        </row>
        <row r="59">
          <cell r="A59">
            <v>54</v>
          </cell>
          <cell r="B59" t="str">
            <v>Moelv Formation</v>
          </cell>
        </row>
        <row r="60">
          <cell r="A60">
            <v>55</v>
          </cell>
          <cell r="B60" t="str">
            <v>Mortensnes Formation</v>
          </cell>
        </row>
        <row r="61">
          <cell r="A61">
            <v>56</v>
          </cell>
          <cell r="B61" t="str">
            <v>Mount Cornish Formation</v>
          </cell>
        </row>
        <row r="62">
          <cell r="A62">
            <v>57</v>
          </cell>
          <cell r="B62" t="str">
            <v>Mount Lloyd George Formation</v>
          </cell>
        </row>
        <row r="63">
          <cell r="A63">
            <v>58</v>
          </cell>
          <cell r="B63" t="str">
            <v>Muglitz Formation</v>
          </cell>
        </row>
        <row r="64">
          <cell r="A64">
            <v>59</v>
          </cell>
          <cell r="B64" t="str">
            <v>Naburula Formation</v>
          </cell>
        </row>
        <row r="65">
          <cell r="A65">
            <v>60</v>
          </cell>
          <cell r="B65" t="str">
            <v>Numees Formation</v>
          </cell>
        </row>
        <row r="66">
          <cell r="A66">
            <v>61</v>
          </cell>
          <cell r="B66" t="str">
            <v>Oorabra Formation</v>
          </cell>
        </row>
        <row r="67">
          <cell r="A67">
            <v>62</v>
          </cell>
          <cell r="B67" t="str">
            <v>Orellana Formation</v>
          </cell>
        </row>
        <row r="68">
          <cell r="A68">
            <v>63</v>
          </cell>
          <cell r="B68" t="str">
            <v>Ouarzazate Group</v>
          </cell>
        </row>
        <row r="69">
          <cell r="A69">
            <v>64</v>
          </cell>
          <cell r="B69" t="str">
            <v>Playa Hermosa Formation</v>
          </cell>
        </row>
        <row r="70">
          <cell r="A70">
            <v>65</v>
          </cell>
          <cell r="B70" t="str">
            <v>Pourpree de l'Ahnet Group</v>
          </cell>
        </row>
        <row r="71">
          <cell r="A71">
            <v>66</v>
          </cell>
          <cell r="B71" t="str">
            <v>Rang Formation</v>
          </cell>
        </row>
        <row r="72">
          <cell r="A72">
            <v>67</v>
          </cell>
          <cell r="B72" t="str">
            <v>Rockfish Conglomerate</v>
          </cell>
        </row>
        <row r="73">
          <cell r="A73">
            <v>68</v>
          </cell>
          <cell r="B73" t="str">
            <v>Serra Azul Unit A</v>
          </cell>
        </row>
        <row r="74">
          <cell r="A74">
            <v>69</v>
          </cell>
          <cell r="B74" t="str">
            <v>Shaohuotong Formation</v>
          </cell>
        </row>
        <row r="75">
          <cell r="A75">
            <v>70</v>
          </cell>
          <cell r="B75" t="str">
            <v>Sliding Stones Slump Breccia</v>
          </cell>
        </row>
        <row r="76">
          <cell r="A76">
            <v>71</v>
          </cell>
          <cell r="B76" t="str">
            <v>South Quarry Breccia</v>
          </cell>
        </row>
        <row r="77">
          <cell r="A77">
            <v>72</v>
          </cell>
          <cell r="B77" t="str">
            <v>Squantum diamictite</v>
          </cell>
        </row>
        <row r="78">
          <cell r="A78">
            <v>73</v>
          </cell>
          <cell r="B78" t="str">
            <v>Starye Pechi Formation</v>
          </cell>
        </row>
        <row r="79">
          <cell r="A79">
            <v>74</v>
          </cell>
          <cell r="B79" t="str">
            <v>Storeelv Formation</v>
          </cell>
        </row>
        <row r="80">
          <cell r="A80">
            <v>75</v>
          </cell>
          <cell r="B80" t="str">
            <v>Talisayi Formation</v>
          </cell>
        </row>
        <row r="81">
          <cell r="A81">
            <v>76</v>
          </cell>
          <cell r="B81" t="str">
            <v>Tany Formation</v>
          </cell>
        </row>
        <row r="82">
          <cell r="A82">
            <v>77</v>
          </cell>
          <cell r="B82" t="str">
            <v>Tiddiline Group</v>
          </cell>
        </row>
        <row r="83">
          <cell r="A83">
            <v>78</v>
          </cell>
          <cell r="B83" t="str">
            <v>Tillery Formation</v>
          </cell>
        </row>
        <row r="84">
          <cell r="A84">
            <v>79</v>
          </cell>
          <cell r="B84" t="str">
            <v>Trinity diamictite</v>
          </cell>
        </row>
        <row r="85">
          <cell r="A85">
            <v>80</v>
          </cell>
          <cell r="B85" t="str">
            <v>Ulveso Formation</v>
          </cell>
        </row>
        <row r="86">
          <cell r="A86">
            <v>81</v>
          </cell>
          <cell r="B86" t="str">
            <v>Vingerbreek Member</v>
          </cell>
        </row>
        <row r="87">
          <cell r="A87">
            <v>82</v>
          </cell>
          <cell r="B87" t="str">
            <v>Wegleszyn Tilloid</v>
          </cell>
        </row>
        <row r="88">
          <cell r="A88">
            <v>83</v>
          </cell>
          <cell r="B88" t="str">
            <v>Weija Tillite</v>
          </cell>
        </row>
        <row r="89">
          <cell r="A89">
            <v>84</v>
          </cell>
          <cell r="B89" t="str">
            <v>Wonoka Formation</v>
          </cell>
        </row>
        <row r="90">
          <cell r="A90">
            <v>85</v>
          </cell>
          <cell r="B90" t="str">
            <v>Xichangjing Formation</v>
          </cell>
        </row>
        <row r="91">
          <cell r="A91">
            <v>86</v>
          </cell>
          <cell r="B91" t="str">
            <v>Yardida Formation</v>
          </cell>
        </row>
        <row r="92">
          <cell r="A92">
            <v>87</v>
          </cell>
          <cell r="B92" t="str">
            <v>Zabit Formation</v>
          </cell>
        </row>
        <row r="93">
          <cell r="A93">
            <v>88</v>
          </cell>
          <cell r="B93" t="str">
            <v>Zhengmuguan Formation</v>
          </cell>
        </row>
        <row r="94">
          <cell r="A94">
            <v>89</v>
          </cell>
          <cell r="B94" t="str">
            <v>Zukow Formation</v>
          </cell>
        </row>
      </sheetData>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F343-A142-424F-B319-CF12FAEC0814}">
  <dimension ref="A1:D167"/>
  <sheetViews>
    <sheetView tabSelected="1" zoomScale="85" zoomScaleNormal="85" workbookViewId="0">
      <pane xSplit="2" ySplit="1" topLeftCell="C2" activePane="bottomRight" state="frozen"/>
      <selection pane="topRight" activeCell="C1" sqref="C1"/>
      <selection pane="bottomLeft" activeCell="A2" sqref="A2"/>
      <selection pane="bottomRight"/>
    </sheetView>
  </sheetViews>
  <sheetFormatPr defaultRowHeight="14.5" x14ac:dyDescent="0.35"/>
  <cols>
    <col min="1" max="1" width="14.26953125" bestFit="1" customWidth="1"/>
    <col min="2" max="2" width="30.90625" customWidth="1"/>
    <col min="3" max="3" width="16.36328125" bestFit="1" customWidth="1"/>
    <col min="4" max="4" width="38.1796875" customWidth="1"/>
  </cols>
  <sheetData>
    <row r="1" spans="1:4" s="1" customFormat="1" x14ac:dyDescent="0.35">
      <c r="A1" s="1" t="s">
        <v>505</v>
      </c>
      <c r="B1" s="1" t="s">
        <v>506</v>
      </c>
      <c r="C1" s="1" t="s">
        <v>507</v>
      </c>
      <c r="D1" s="1" t="s">
        <v>508</v>
      </c>
    </row>
    <row r="2" spans="1:4" x14ac:dyDescent="0.35">
      <c r="A2">
        <v>14</v>
      </c>
      <c r="B2" t="s">
        <v>29</v>
      </c>
      <c r="C2">
        <v>2021</v>
      </c>
      <c r="D2" t="s">
        <v>470</v>
      </c>
    </row>
    <row r="3" spans="1:4" x14ac:dyDescent="0.35">
      <c r="A3">
        <v>17</v>
      </c>
      <c r="B3" t="s">
        <v>107</v>
      </c>
      <c r="C3">
        <v>2013</v>
      </c>
      <c r="D3" t="s">
        <v>471</v>
      </c>
    </row>
    <row r="4" spans="1:4" x14ac:dyDescent="0.35">
      <c r="A4">
        <v>20</v>
      </c>
      <c r="B4" t="s">
        <v>74</v>
      </c>
      <c r="C4">
        <v>2004</v>
      </c>
      <c r="D4" t="s">
        <v>473</v>
      </c>
    </row>
    <row r="5" spans="1:4" x14ac:dyDescent="0.35">
      <c r="A5">
        <v>23</v>
      </c>
      <c r="B5" t="s">
        <v>138</v>
      </c>
      <c r="C5">
        <v>2016</v>
      </c>
      <c r="D5" t="s">
        <v>474</v>
      </c>
    </row>
    <row r="6" spans="1:4" x14ac:dyDescent="0.35">
      <c r="A6">
        <v>25</v>
      </c>
      <c r="B6" t="s">
        <v>463</v>
      </c>
      <c r="C6">
        <v>2020</v>
      </c>
      <c r="D6" t="s">
        <v>475</v>
      </c>
    </row>
    <row r="7" spans="1:4" x14ac:dyDescent="0.35">
      <c r="A7">
        <v>27</v>
      </c>
      <c r="B7" t="s">
        <v>35</v>
      </c>
      <c r="C7">
        <v>2023</v>
      </c>
      <c r="D7" t="s">
        <v>476</v>
      </c>
    </row>
    <row r="8" spans="1:4" x14ac:dyDescent="0.35">
      <c r="A8">
        <v>28</v>
      </c>
      <c r="B8" t="s">
        <v>377</v>
      </c>
      <c r="C8">
        <v>2002</v>
      </c>
      <c r="D8" t="s">
        <v>477</v>
      </c>
    </row>
    <row r="9" spans="1:4" x14ac:dyDescent="0.35">
      <c r="A9">
        <v>29</v>
      </c>
      <c r="B9" t="s">
        <v>357</v>
      </c>
      <c r="C9">
        <v>2000</v>
      </c>
      <c r="D9" t="s">
        <v>478</v>
      </c>
    </row>
    <row r="10" spans="1:4" x14ac:dyDescent="0.35">
      <c r="A10">
        <v>31</v>
      </c>
      <c r="B10" t="s">
        <v>425</v>
      </c>
      <c r="C10">
        <v>2022</v>
      </c>
      <c r="D10" t="s">
        <v>479</v>
      </c>
    </row>
    <row r="11" spans="1:4" x14ac:dyDescent="0.35">
      <c r="A11">
        <v>32</v>
      </c>
      <c r="B11" t="s">
        <v>95</v>
      </c>
      <c r="C11">
        <v>2008</v>
      </c>
      <c r="D11" t="s">
        <v>480</v>
      </c>
    </row>
    <row r="12" spans="1:4" x14ac:dyDescent="0.35">
      <c r="A12">
        <v>34</v>
      </c>
      <c r="B12" t="s">
        <v>225</v>
      </c>
      <c r="C12">
        <v>2018</v>
      </c>
      <c r="D12" t="s">
        <v>481</v>
      </c>
    </row>
    <row r="13" spans="1:4" x14ac:dyDescent="0.35">
      <c r="A13">
        <v>36</v>
      </c>
      <c r="B13" t="s">
        <v>56</v>
      </c>
      <c r="C13">
        <v>2018</v>
      </c>
      <c r="D13" t="s">
        <v>482</v>
      </c>
    </row>
    <row r="14" spans="1:4" x14ac:dyDescent="0.35">
      <c r="A14">
        <v>38</v>
      </c>
      <c r="B14" t="s">
        <v>147</v>
      </c>
      <c r="C14">
        <v>2022</v>
      </c>
      <c r="D14" t="s">
        <v>483</v>
      </c>
    </row>
    <row r="15" spans="1:4" x14ac:dyDescent="0.35">
      <c r="A15">
        <v>41</v>
      </c>
      <c r="B15" t="s">
        <v>343</v>
      </c>
      <c r="C15">
        <v>2006</v>
      </c>
      <c r="D15" t="s">
        <v>484</v>
      </c>
    </row>
    <row r="16" spans="1:4" x14ac:dyDescent="0.35">
      <c r="A16">
        <v>44</v>
      </c>
      <c r="B16" t="s">
        <v>288</v>
      </c>
      <c r="C16">
        <v>2005</v>
      </c>
      <c r="D16" t="s">
        <v>485</v>
      </c>
    </row>
    <row r="17" spans="1:4" x14ac:dyDescent="0.35">
      <c r="A17">
        <v>45</v>
      </c>
      <c r="B17" t="s">
        <v>319</v>
      </c>
      <c r="C17">
        <v>2014</v>
      </c>
      <c r="D17" t="s">
        <v>486</v>
      </c>
    </row>
    <row r="18" spans="1:4" x14ac:dyDescent="0.35">
      <c r="A18">
        <v>47</v>
      </c>
      <c r="B18" t="s">
        <v>419</v>
      </c>
      <c r="C18">
        <v>2007</v>
      </c>
      <c r="D18" t="s">
        <v>487</v>
      </c>
    </row>
    <row r="19" spans="1:4" x14ac:dyDescent="0.35">
      <c r="A19">
        <v>55</v>
      </c>
      <c r="B19" t="s">
        <v>234</v>
      </c>
      <c r="C19">
        <v>2016</v>
      </c>
      <c r="D19" t="s">
        <v>488</v>
      </c>
    </row>
    <row r="20" spans="1:4" x14ac:dyDescent="0.35">
      <c r="A20">
        <v>56</v>
      </c>
      <c r="B20" t="s">
        <v>344</v>
      </c>
      <c r="C20">
        <v>2010</v>
      </c>
      <c r="D20" t="s">
        <v>489</v>
      </c>
    </row>
    <row r="21" spans="1:4" x14ac:dyDescent="0.35">
      <c r="A21">
        <v>58</v>
      </c>
      <c r="B21" t="s">
        <v>243</v>
      </c>
      <c r="C21">
        <v>2011</v>
      </c>
      <c r="D21" t="s">
        <v>490</v>
      </c>
    </row>
    <row r="22" spans="1:4" x14ac:dyDescent="0.35">
      <c r="A22">
        <v>62</v>
      </c>
      <c r="B22" t="s">
        <v>390</v>
      </c>
      <c r="C22">
        <v>2004</v>
      </c>
      <c r="D22" t="s">
        <v>491</v>
      </c>
    </row>
    <row r="23" spans="1:4" x14ac:dyDescent="0.35">
      <c r="A23">
        <v>66</v>
      </c>
      <c r="B23" t="s">
        <v>244</v>
      </c>
      <c r="C23">
        <v>2013</v>
      </c>
      <c r="D23" t="s">
        <v>492</v>
      </c>
    </row>
    <row r="24" spans="1:4" x14ac:dyDescent="0.35">
      <c r="A24">
        <v>72</v>
      </c>
      <c r="B24" t="s">
        <v>113</v>
      </c>
      <c r="C24">
        <v>2017</v>
      </c>
      <c r="D24" t="s">
        <v>493</v>
      </c>
    </row>
    <row r="25" spans="1:4" x14ac:dyDescent="0.35">
      <c r="A25">
        <v>74</v>
      </c>
      <c r="B25" t="s">
        <v>494</v>
      </c>
      <c r="C25">
        <v>2018</v>
      </c>
      <c r="D25" t="s">
        <v>495</v>
      </c>
    </row>
    <row r="26" spans="1:4" x14ac:dyDescent="0.35">
      <c r="A26">
        <v>76</v>
      </c>
      <c r="B26" t="s">
        <v>201</v>
      </c>
      <c r="C26">
        <v>2021</v>
      </c>
      <c r="D26" t="s">
        <v>496</v>
      </c>
    </row>
    <row r="27" spans="1:4" x14ac:dyDescent="0.35">
      <c r="A27">
        <v>88</v>
      </c>
      <c r="B27" t="s">
        <v>455</v>
      </c>
      <c r="C27">
        <v>2023</v>
      </c>
      <c r="D27" t="s">
        <v>498</v>
      </c>
    </row>
    <row r="28" spans="1:4" x14ac:dyDescent="0.35">
      <c r="A28">
        <v>91</v>
      </c>
      <c r="B28" t="s">
        <v>77</v>
      </c>
      <c r="C28">
        <v>2013</v>
      </c>
      <c r="D28" t="s">
        <v>499</v>
      </c>
    </row>
    <row r="29" spans="1:4" x14ac:dyDescent="0.35">
      <c r="A29">
        <v>92</v>
      </c>
      <c r="B29" t="s">
        <v>458</v>
      </c>
      <c r="C29">
        <v>2020</v>
      </c>
      <c r="D29" t="s">
        <v>500</v>
      </c>
    </row>
    <row r="30" spans="1:4" x14ac:dyDescent="0.35">
      <c r="A30">
        <v>95</v>
      </c>
      <c r="B30" t="s">
        <v>466</v>
      </c>
      <c r="C30">
        <v>2023</v>
      </c>
      <c r="D30" t="s">
        <v>501</v>
      </c>
    </row>
    <row r="31" spans="1:4" x14ac:dyDescent="0.35">
      <c r="A31">
        <v>121</v>
      </c>
      <c r="B31" t="s">
        <v>1396</v>
      </c>
      <c r="C31">
        <v>2017</v>
      </c>
      <c r="D31" t="s">
        <v>502</v>
      </c>
    </row>
    <row r="32" spans="1:4" x14ac:dyDescent="0.35">
      <c r="A32">
        <v>135</v>
      </c>
      <c r="B32" t="s">
        <v>469</v>
      </c>
      <c r="C32">
        <v>2023</v>
      </c>
      <c r="D32" t="s">
        <v>503</v>
      </c>
    </row>
    <row r="33" spans="1:4" x14ac:dyDescent="0.35">
      <c r="A33">
        <v>178</v>
      </c>
      <c r="B33" t="s">
        <v>93</v>
      </c>
      <c r="C33">
        <v>2013</v>
      </c>
      <c r="D33" t="s">
        <v>504</v>
      </c>
    </row>
    <row r="34" spans="1:4" x14ac:dyDescent="0.35">
      <c r="A34">
        <v>204</v>
      </c>
      <c r="B34" t="s">
        <v>1178</v>
      </c>
      <c r="C34">
        <v>2011</v>
      </c>
      <c r="D34" t="s">
        <v>1435</v>
      </c>
    </row>
    <row r="35" spans="1:4" x14ac:dyDescent="0.35">
      <c r="A35">
        <v>205</v>
      </c>
      <c r="B35" t="s">
        <v>401</v>
      </c>
      <c r="C35">
        <v>2006</v>
      </c>
      <c r="D35" t="s">
        <v>1180</v>
      </c>
    </row>
    <row r="36" spans="1:4" x14ac:dyDescent="0.35">
      <c r="A36">
        <v>206</v>
      </c>
      <c r="B36" t="s">
        <v>402</v>
      </c>
      <c r="C36">
        <v>2009</v>
      </c>
      <c r="D36" t="s">
        <v>1181</v>
      </c>
    </row>
    <row r="37" spans="1:4" x14ac:dyDescent="0.35">
      <c r="A37">
        <v>207</v>
      </c>
      <c r="B37" t="s">
        <v>396</v>
      </c>
      <c r="C37">
        <v>2006</v>
      </c>
      <c r="D37" t="s">
        <v>1182</v>
      </c>
    </row>
    <row r="38" spans="1:4" x14ac:dyDescent="0.35">
      <c r="A38">
        <v>210</v>
      </c>
      <c r="B38" t="s">
        <v>10</v>
      </c>
      <c r="C38">
        <v>2014</v>
      </c>
      <c r="D38" t="s">
        <v>1183</v>
      </c>
    </row>
    <row r="39" spans="1:4" x14ac:dyDescent="0.35">
      <c r="A39">
        <v>211</v>
      </c>
      <c r="B39" t="s">
        <v>68</v>
      </c>
      <c r="C39">
        <v>2024</v>
      </c>
      <c r="D39" t="s">
        <v>1370</v>
      </c>
    </row>
    <row r="40" spans="1:4" x14ac:dyDescent="0.35">
      <c r="A40">
        <v>212</v>
      </c>
      <c r="B40" t="s">
        <v>1375</v>
      </c>
      <c r="C40">
        <v>2011</v>
      </c>
      <c r="D40" t="s">
        <v>1373</v>
      </c>
    </row>
    <row r="41" spans="1:4" x14ac:dyDescent="0.35">
      <c r="A41">
        <v>213</v>
      </c>
      <c r="B41" t="s">
        <v>1376</v>
      </c>
      <c r="C41">
        <v>2011</v>
      </c>
      <c r="D41" t="s">
        <v>1372</v>
      </c>
    </row>
    <row r="42" spans="1:4" x14ac:dyDescent="0.35">
      <c r="A42">
        <v>214</v>
      </c>
      <c r="B42" t="s">
        <v>1371</v>
      </c>
      <c r="C42">
        <v>2011</v>
      </c>
      <c r="D42" t="s">
        <v>1374</v>
      </c>
    </row>
    <row r="43" spans="1:4" x14ac:dyDescent="0.35">
      <c r="A43">
        <v>215</v>
      </c>
      <c r="B43" t="s">
        <v>1118</v>
      </c>
      <c r="C43">
        <v>2024</v>
      </c>
      <c r="D43" t="s">
        <v>1378</v>
      </c>
    </row>
    <row r="44" spans="1:4" x14ac:dyDescent="0.35">
      <c r="A44">
        <v>216</v>
      </c>
      <c r="B44" t="s">
        <v>27</v>
      </c>
      <c r="C44">
        <v>2014</v>
      </c>
      <c r="D44" t="s">
        <v>1379</v>
      </c>
    </row>
    <row r="45" spans="1:4" x14ac:dyDescent="0.35">
      <c r="A45">
        <v>217</v>
      </c>
      <c r="B45" t="s">
        <v>1139</v>
      </c>
      <c r="C45">
        <v>2011</v>
      </c>
      <c r="D45" t="s">
        <v>1380</v>
      </c>
    </row>
    <row r="46" spans="1:4" x14ac:dyDescent="0.35">
      <c r="A46">
        <v>218</v>
      </c>
      <c r="B46" t="s">
        <v>264</v>
      </c>
      <c r="C46">
        <v>2007</v>
      </c>
      <c r="D46" t="s">
        <v>1381</v>
      </c>
    </row>
    <row r="47" spans="1:4" x14ac:dyDescent="0.35">
      <c r="A47">
        <v>219</v>
      </c>
      <c r="B47" t="s">
        <v>1137</v>
      </c>
      <c r="C47">
        <v>2008</v>
      </c>
      <c r="D47" t="s">
        <v>1382</v>
      </c>
    </row>
    <row r="48" spans="1:4" x14ac:dyDescent="0.35">
      <c r="A48">
        <v>220</v>
      </c>
      <c r="B48" t="s">
        <v>257</v>
      </c>
      <c r="C48">
        <v>1993</v>
      </c>
      <c r="D48" t="s">
        <v>1383</v>
      </c>
    </row>
    <row r="49" spans="1:4" x14ac:dyDescent="0.35">
      <c r="A49">
        <v>221</v>
      </c>
      <c r="B49" t="s">
        <v>260</v>
      </c>
      <c r="C49">
        <v>2007</v>
      </c>
      <c r="D49" t="s">
        <v>1384</v>
      </c>
    </row>
    <row r="50" spans="1:4" x14ac:dyDescent="0.35">
      <c r="A50">
        <v>222</v>
      </c>
      <c r="B50" t="s">
        <v>156</v>
      </c>
      <c r="C50">
        <v>2008</v>
      </c>
      <c r="D50" t="s">
        <v>1385</v>
      </c>
    </row>
    <row r="51" spans="1:4" x14ac:dyDescent="0.35">
      <c r="A51">
        <v>223</v>
      </c>
      <c r="B51" t="s">
        <v>1125</v>
      </c>
      <c r="C51">
        <v>2000</v>
      </c>
      <c r="D51" t="s">
        <v>1386</v>
      </c>
    </row>
    <row r="52" spans="1:4" x14ac:dyDescent="0.35">
      <c r="A52">
        <v>224</v>
      </c>
      <c r="B52" t="s">
        <v>1128</v>
      </c>
      <c r="C52">
        <v>2011</v>
      </c>
      <c r="D52" t="s">
        <v>1387</v>
      </c>
    </row>
    <row r="53" spans="1:4" x14ac:dyDescent="0.35">
      <c r="A53">
        <v>225</v>
      </c>
      <c r="B53" t="s">
        <v>289</v>
      </c>
      <c r="C53">
        <v>2011</v>
      </c>
      <c r="D53" t="s">
        <v>1388</v>
      </c>
    </row>
    <row r="54" spans="1:4" x14ac:dyDescent="0.35">
      <c r="A54">
        <v>226</v>
      </c>
      <c r="B54" t="s">
        <v>1144</v>
      </c>
      <c r="C54">
        <v>2011</v>
      </c>
      <c r="D54" t="s">
        <v>1389</v>
      </c>
    </row>
    <row r="55" spans="1:4" x14ac:dyDescent="0.35">
      <c r="A55">
        <v>227</v>
      </c>
      <c r="B55" t="s">
        <v>1146</v>
      </c>
      <c r="C55">
        <v>2007</v>
      </c>
      <c r="D55" t="s">
        <v>1390</v>
      </c>
    </row>
    <row r="56" spans="1:4" x14ac:dyDescent="0.35">
      <c r="A56">
        <v>228</v>
      </c>
      <c r="B56" t="s">
        <v>1097</v>
      </c>
      <c r="C56">
        <v>2010</v>
      </c>
      <c r="D56" t="s">
        <v>1391</v>
      </c>
    </row>
    <row r="57" spans="1:4" x14ac:dyDescent="0.35">
      <c r="A57">
        <v>229</v>
      </c>
      <c r="B57" t="s">
        <v>1397</v>
      </c>
      <c r="C57">
        <v>2017</v>
      </c>
      <c r="D57" t="s">
        <v>1395</v>
      </c>
    </row>
    <row r="58" spans="1:4" x14ac:dyDescent="0.35">
      <c r="A58">
        <v>230</v>
      </c>
      <c r="B58" t="s">
        <v>101</v>
      </c>
      <c r="C58">
        <v>2020</v>
      </c>
      <c r="D58" t="s">
        <v>1394</v>
      </c>
    </row>
    <row r="59" spans="1:4" x14ac:dyDescent="0.35">
      <c r="A59">
        <v>232</v>
      </c>
      <c r="B59" t="s">
        <v>128</v>
      </c>
      <c r="C59">
        <v>2010</v>
      </c>
      <c r="D59" t="s">
        <v>497</v>
      </c>
    </row>
    <row r="60" spans="1:4" x14ac:dyDescent="0.35">
      <c r="A60">
        <v>234</v>
      </c>
      <c r="B60" t="s">
        <v>36</v>
      </c>
      <c r="C60">
        <v>2023</v>
      </c>
      <c r="D60" t="s">
        <v>1406</v>
      </c>
    </row>
    <row r="61" spans="1:4" x14ac:dyDescent="0.35">
      <c r="A61">
        <v>235</v>
      </c>
      <c r="B61" t="s">
        <v>37</v>
      </c>
      <c r="C61">
        <v>2024</v>
      </c>
      <c r="D61" t="s">
        <v>1407</v>
      </c>
    </row>
    <row r="62" spans="1:4" x14ac:dyDescent="0.35">
      <c r="A62">
        <v>236</v>
      </c>
      <c r="B62" t="s">
        <v>164</v>
      </c>
      <c r="C62">
        <v>2023</v>
      </c>
      <c r="D62" t="s">
        <v>1408</v>
      </c>
    </row>
    <row r="63" spans="1:4" x14ac:dyDescent="0.35">
      <c r="A63">
        <v>237</v>
      </c>
      <c r="B63" t="s">
        <v>1302</v>
      </c>
      <c r="C63">
        <v>2024</v>
      </c>
      <c r="D63" t="s">
        <v>1409</v>
      </c>
    </row>
    <row r="64" spans="1:4" x14ac:dyDescent="0.35">
      <c r="A64">
        <v>238</v>
      </c>
      <c r="B64" t="s">
        <v>1436</v>
      </c>
      <c r="C64">
        <v>2014</v>
      </c>
      <c r="D64" t="s">
        <v>1179</v>
      </c>
    </row>
    <row r="65" spans="1:4" x14ac:dyDescent="0.35">
      <c r="A65">
        <v>239</v>
      </c>
      <c r="B65" t="s">
        <v>1437</v>
      </c>
      <c r="C65">
        <v>2006</v>
      </c>
      <c r="D65" t="s">
        <v>1438</v>
      </c>
    </row>
    <row r="66" spans="1:4" x14ac:dyDescent="0.35">
      <c r="A66">
        <v>240</v>
      </c>
      <c r="B66" t="s">
        <v>1440</v>
      </c>
      <c r="C66">
        <v>1964</v>
      </c>
      <c r="D66" t="s">
        <v>1441</v>
      </c>
    </row>
    <row r="67" spans="1:4" x14ac:dyDescent="0.35">
      <c r="A67">
        <v>241</v>
      </c>
      <c r="B67" t="s">
        <v>1442</v>
      </c>
      <c r="C67">
        <v>1984</v>
      </c>
      <c r="D67" t="s">
        <v>1443</v>
      </c>
    </row>
    <row r="68" spans="1:4" x14ac:dyDescent="0.35">
      <c r="A68">
        <v>242</v>
      </c>
      <c r="B68" t="s">
        <v>1448</v>
      </c>
      <c r="C68">
        <v>1981</v>
      </c>
      <c r="D68" t="s">
        <v>1449</v>
      </c>
    </row>
    <row r="69" spans="1:4" x14ac:dyDescent="0.35">
      <c r="A69">
        <v>243</v>
      </c>
      <c r="B69" t="s">
        <v>1451</v>
      </c>
      <c r="C69">
        <v>1972</v>
      </c>
      <c r="D69" t="s">
        <v>1450</v>
      </c>
    </row>
    <row r="70" spans="1:4" x14ac:dyDescent="0.35">
      <c r="A70">
        <v>244</v>
      </c>
      <c r="B70" t="s">
        <v>212</v>
      </c>
      <c r="C70">
        <v>2002</v>
      </c>
      <c r="D70" t="s">
        <v>1455</v>
      </c>
    </row>
    <row r="71" spans="1:4" x14ac:dyDescent="0.35">
      <c r="A71">
        <v>245</v>
      </c>
      <c r="B71" t="s">
        <v>210</v>
      </c>
      <c r="C71">
        <v>1989</v>
      </c>
      <c r="D71" t="s">
        <v>1454</v>
      </c>
    </row>
    <row r="72" spans="1:4" x14ac:dyDescent="0.35">
      <c r="A72">
        <v>246</v>
      </c>
      <c r="B72" t="s">
        <v>1461</v>
      </c>
      <c r="C72">
        <v>2022</v>
      </c>
      <c r="D72" t="s">
        <v>1460</v>
      </c>
    </row>
    <row r="73" spans="1:4" x14ac:dyDescent="0.35">
      <c r="A73">
        <v>248</v>
      </c>
      <c r="B73" t="s">
        <v>132</v>
      </c>
      <c r="C73">
        <v>2011</v>
      </c>
      <c r="D73" t="s">
        <v>1469</v>
      </c>
    </row>
    <row r="74" spans="1:4" x14ac:dyDescent="0.35">
      <c r="A74">
        <v>249</v>
      </c>
      <c r="B74" t="s">
        <v>1158</v>
      </c>
      <c r="C74">
        <v>2007</v>
      </c>
      <c r="D74" t="s">
        <v>1470</v>
      </c>
    </row>
    <row r="75" spans="1:4" x14ac:dyDescent="0.35">
      <c r="A75">
        <v>251</v>
      </c>
      <c r="B75" t="s">
        <v>1481</v>
      </c>
      <c r="C75">
        <v>2025</v>
      </c>
      <c r="D75" t="s">
        <v>1482</v>
      </c>
    </row>
    <row r="76" spans="1:4" x14ac:dyDescent="0.35">
      <c r="A76">
        <v>252</v>
      </c>
      <c r="B76" t="s">
        <v>1489</v>
      </c>
      <c r="C76">
        <v>2025</v>
      </c>
      <c r="D76" t="s">
        <v>1488</v>
      </c>
    </row>
    <row r="77" spans="1:4" x14ac:dyDescent="0.35">
      <c r="A77">
        <v>253</v>
      </c>
      <c r="B77" t="s">
        <v>1495</v>
      </c>
      <c r="C77">
        <v>2011</v>
      </c>
      <c r="D77" t="s">
        <v>1496</v>
      </c>
    </row>
    <row r="78" spans="1:4" x14ac:dyDescent="0.35">
      <c r="A78">
        <v>255</v>
      </c>
      <c r="B78" t="s">
        <v>1514</v>
      </c>
      <c r="C78">
        <v>2007</v>
      </c>
      <c r="D78" t="s">
        <v>1515</v>
      </c>
    </row>
    <row r="79" spans="1:4" x14ac:dyDescent="0.35">
      <c r="A79">
        <v>256</v>
      </c>
      <c r="B79" t="s">
        <v>330</v>
      </c>
      <c r="C79">
        <v>2015</v>
      </c>
      <c r="D79" t="s">
        <v>1518</v>
      </c>
    </row>
    <row r="80" spans="1:4" x14ac:dyDescent="0.35">
      <c r="A80">
        <v>258</v>
      </c>
      <c r="B80" t="s">
        <v>1529</v>
      </c>
      <c r="C80">
        <v>2025</v>
      </c>
      <c r="D80" t="s">
        <v>1530</v>
      </c>
    </row>
    <row r="81" spans="1:4" x14ac:dyDescent="0.35">
      <c r="A81">
        <v>259</v>
      </c>
      <c r="B81" t="s">
        <v>1531</v>
      </c>
      <c r="C81">
        <v>2025</v>
      </c>
      <c r="D81" t="s">
        <v>1532</v>
      </c>
    </row>
    <row r="82" spans="1:4" x14ac:dyDescent="0.35">
      <c r="A82">
        <v>261</v>
      </c>
      <c r="B82" t="s">
        <v>1204</v>
      </c>
      <c r="C82">
        <v>1981</v>
      </c>
      <c r="D82" t="s">
        <v>1534</v>
      </c>
    </row>
    <row r="83" spans="1:4" x14ac:dyDescent="0.35">
      <c r="A83">
        <v>264</v>
      </c>
      <c r="B83" t="s">
        <v>1544</v>
      </c>
      <c r="C83">
        <v>2026</v>
      </c>
      <c r="D83" t="s">
        <v>1559</v>
      </c>
    </row>
    <row r="84" spans="1:4" x14ac:dyDescent="0.35">
      <c r="A84">
        <v>265</v>
      </c>
      <c r="B84" t="s">
        <v>1547</v>
      </c>
      <c r="C84">
        <v>2017</v>
      </c>
      <c r="D84" t="s">
        <v>1560</v>
      </c>
    </row>
    <row r="85" spans="1:4" x14ac:dyDescent="0.35">
      <c r="A85">
        <v>267</v>
      </c>
      <c r="B85" t="s">
        <v>1549</v>
      </c>
      <c r="C85">
        <v>2026</v>
      </c>
      <c r="D85" t="s">
        <v>1561</v>
      </c>
    </row>
    <row r="86" spans="1:4" x14ac:dyDescent="0.35">
      <c r="A86">
        <v>268</v>
      </c>
      <c r="B86" t="s">
        <v>1431</v>
      </c>
      <c r="C86">
        <v>2026</v>
      </c>
      <c r="D86" t="s">
        <v>1563</v>
      </c>
    </row>
    <row r="87" spans="1:4" x14ac:dyDescent="0.35">
      <c r="A87">
        <v>269</v>
      </c>
      <c r="B87" t="s">
        <v>1564</v>
      </c>
      <c r="C87">
        <v>2026</v>
      </c>
      <c r="D87" t="s">
        <v>1565</v>
      </c>
    </row>
    <row r="88" spans="1:4" x14ac:dyDescent="0.35">
      <c r="A88">
        <v>270</v>
      </c>
      <c r="B88" t="s">
        <v>1569</v>
      </c>
      <c r="C88">
        <v>2021</v>
      </c>
      <c r="D88" t="s">
        <v>1570</v>
      </c>
    </row>
    <row r="89" spans="1:4" x14ac:dyDescent="0.35">
      <c r="A89">
        <v>271</v>
      </c>
      <c r="B89" t="s">
        <v>218</v>
      </c>
      <c r="C89">
        <v>2008</v>
      </c>
      <c r="D89" t="s">
        <v>1584</v>
      </c>
    </row>
    <row r="90" spans="1:4" x14ac:dyDescent="0.35">
      <c r="A90">
        <v>272</v>
      </c>
      <c r="B90" t="s">
        <v>429</v>
      </c>
      <c r="C90">
        <v>2024</v>
      </c>
      <c r="D90" t="s">
        <v>1587</v>
      </c>
    </row>
    <row r="91" spans="1:4" x14ac:dyDescent="0.35">
      <c r="A91">
        <v>274</v>
      </c>
      <c r="B91" t="s">
        <v>1098</v>
      </c>
      <c r="C91">
        <v>2018</v>
      </c>
      <c r="D91" t="s">
        <v>1589</v>
      </c>
    </row>
    <row r="92" spans="1:4" x14ac:dyDescent="0.35">
      <c r="A92">
        <v>275</v>
      </c>
      <c r="B92" t="s">
        <v>1099</v>
      </c>
      <c r="C92">
        <v>2021</v>
      </c>
      <c r="D92" t="s">
        <v>1590</v>
      </c>
    </row>
    <row r="93" spans="1:4" x14ac:dyDescent="0.35">
      <c r="A93">
        <v>276</v>
      </c>
      <c r="B93" t="s">
        <v>310</v>
      </c>
      <c r="C93">
        <v>2019</v>
      </c>
      <c r="D93" t="s">
        <v>1591</v>
      </c>
    </row>
    <row r="94" spans="1:4" x14ac:dyDescent="0.35">
      <c r="A94">
        <v>277</v>
      </c>
      <c r="B94" t="s">
        <v>163</v>
      </c>
      <c r="C94">
        <v>2017</v>
      </c>
      <c r="D94" t="s">
        <v>1592</v>
      </c>
    </row>
    <row r="95" spans="1:4" x14ac:dyDescent="0.35">
      <c r="A95">
        <v>278</v>
      </c>
      <c r="B95" t="s">
        <v>279</v>
      </c>
      <c r="C95">
        <v>1998</v>
      </c>
      <c r="D95" t="s">
        <v>1593</v>
      </c>
    </row>
    <row r="96" spans="1:4" x14ac:dyDescent="0.35">
      <c r="A96">
        <v>279</v>
      </c>
      <c r="B96" t="s">
        <v>161</v>
      </c>
      <c r="C96">
        <v>1979</v>
      </c>
      <c r="D96" t="s">
        <v>1594</v>
      </c>
    </row>
    <row r="97" spans="1:4" x14ac:dyDescent="0.35">
      <c r="A97">
        <v>280</v>
      </c>
      <c r="B97" t="s">
        <v>1135</v>
      </c>
      <c r="C97">
        <v>2005</v>
      </c>
      <c r="D97" t="s">
        <v>1595</v>
      </c>
    </row>
    <row r="98" spans="1:4" x14ac:dyDescent="0.35">
      <c r="A98">
        <v>281</v>
      </c>
      <c r="B98" t="s">
        <v>1102</v>
      </c>
      <c r="C98">
        <v>1986</v>
      </c>
      <c r="D98" t="s">
        <v>1596</v>
      </c>
    </row>
    <row r="99" spans="1:4" x14ac:dyDescent="0.35">
      <c r="A99">
        <v>282</v>
      </c>
      <c r="B99" t="s">
        <v>1103</v>
      </c>
      <c r="C99">
        <v>1986</v>
      </c>
      <c r="D99" t="s">
        <v>1597</v>
      </c>
    </row>
    <row r="100" spans="1:4" x14ac:dyDescent="0.35">
      <c r="A100">
        <v>283</v>
      </c>
      <c r="B100" t="s">
        <v>75</v>
      </c>
      <c r="C100">
        <v>2000</v>
      </c>
      <c r="D100" t="s">
        <v>472</v>
      </c>
    </row>
    <row r="101" spans="1:4" x14ac:dyDescent="0.35">
      <c r="A101">
        <v>284</v>
      </c>
      <c r="B101" t="s">
        <v>1117</v>
      </c>
      <c r="C101">
        <v>2011</v>
      </c>
      <c r="D101" t="s">
        <v>1598</v>
      </c>
    </row>
    <row r="102" spans="1:4" x14ac:dyDescent="0.35">
      <c r="A102">
        <v>285</v>
      </c>
      <c r="B102" t="s">
        <v>1159</v>
      </c>
      <c r="C102">
        <v>2012</v>
      </c>
      <c r="D102" t="s">
        <v>1599</v>
      </c>
    </row>
    <row r="103" spans="1:4" x14ac:dyDescent="0.35">
      <c r="A103">
        <v>286</v>
      </c>
      <c r="B103" t="s">
        <v>1127</v>
      </c>
      <c r="C103">
        <v>2007</v>
      </c>
      <c r="D103" t="s">
        <v>1600</v>
      </c>
    </row>
    <row r="104" spans="1:4" x14ac:dyDescent="0.35">
      <c r="A104">
        <v>287</v>
      </c>
      <c r="B104" t="s">
        <v>22</v>
      </c>
      <c r="C104">
        <v>2009</v>
      </c>
      <c r="D104" t="s">
        <v>1601</v>
      </c>
    </row>
    <row r="105" spans="1:4" x14ac:dyDescent="0.35">
      <c r="A105">
        <v>288</v>
      </c>
      <c r="B105" t="s">
        <v>245</v>
      </c>
      <c r="C105">
        <v>2013</v>
      </c>
      <c r="D105" t="s">
        <v>1602</v>
      </c>
    </row>
    <row r="106" spans="1:4" x14ac:dyDescent="0.35">
      <c r="A106">
        <v>289</v>
      </c>
      <c r="B106" t="s">
        <v>155</v>
      </c>
      <c r="C106">
        <v>2004</v>
      </c>
      <c r="D106" t="s">
        <v>1603</v>
      </c>
    </row>
    <row r="107" spans="1:4" x14ac:dyDescent="0.35">
      <c r="A107">
        <v>290</v>
      </c>
      <c r="B107" t="s">
        <v>1094</v>
      </c>
      <c r="C107">
        <v>1987</v>
      </c>
      <c r="D107" t="s">
        <v>1604</v>
      </c>
    </row>
    <row r="108" spans="1:4" x14ac:dyDescent="0.35">
      <c r="A108">
        <v>291</v>
      </c>
      <c r="B108" t="s">
        <v>120</v>
      </c>
      <c r="C108">
        <v>2011</v>
      </c>
      <c r="D108" t="s">
        <v>1605</v>
      </c>
    </row>
    <row r="109" spans="1:4" x14ac:dyDescent="0.35">
      <c r="A109">
        <v>292</v>
      </c>
      <c r="B109" t="s">
        <v>1104</v>
      </c>
      <c r="C109">
        <v>1992</v>
      </c>
      <c r="D109" t="s">
        <v>1606</v>
      </c>
    </row>
    <row r="110" spans="1:4" x14ac:dyDescent="0.35">
      <c r="A110">
        <v>293</v>
      </c>
      <c r="B110" t="s">
        <v>76</v>
      </c>
      <c r="C110">
        <v>2008</v>
      </c>
      <c r="D110" t="s">
        <v>1607</v>
      </c>
    </row>
    <row r="111" spans="1:4" x14ac:dyDescent="0.35">
      <c r="A111">
        <v>294</v>
      </c>
      <c r="B111" t="s">
        <v>1155</v>
      </c>
      <c r="C111">
        <v>1961</v>
      </c>
      <c r="D111" t="s">
        <v>1608</v>
      </c>
    </row>
    <row r="112" spans="1:4" x14ac:dyDescent="0.35">
      <c r="A112">
        <v>295</v>
      </c>
      <c r="B112" t="s">
        <v>323</v>
      </c>
      <c r="C112">
        <v>2021</v>
      </c>
      <c r="D112" t="s">
        <v>1609</v>
      </c>
    </row>
    <row r="113" spans="1:4" x14ac:dyDescent="0.35">
      <c r="A113">
        <v>296</v>
      </c>
      <c r="B113" t="s">
        <v>1105</v>
      </c>
      <c r="C113">
        <v>2007</v>
      </c>
      <c r="D113" t="s">
        <v>1610</v>
      </c>
    </row>
    <row r="114" spans="1:4" x14ac:dyDescent="0.35">
      <c r="A114">
        <v>297</v>
      </c>
      <c r="B114" t="s">
        <v>1116</v>
      </c>
      <c r="C114">
        <v>1989</v>
      </c>
      <c r="D114" t="s">
        <v>1611</v>
      </c>
    </row>
    <row r="115" spans="1:4" x14ac:dyDescent="0.35">
      <c r="A115">
        <v>298</v>
      </c>
      <c r="B115" t="s">
        <v>1148</v>
      </c>
      <c r="C115">
        <v>2011</v>
      </c>
      <c r="D115" t="s">
        <v>1612</v>
      </c>
    </row>
    <row r="116" spans="1:4" x14ac:dyDescent="0.35">
      <c r="A116">
        <v>299</v>
      </c>
      <c r="B116" t="s">
        <v>303</v>
      </c>
      <c r="C116">
        <v>2000</v>
      </c>
      <c r="D116" t="s">
        <v>1613</v>
      </c>
    </row>
    <row r="117" spans="1:4" x14ac:dyDescent="0.35">
      <c r="A117">
        <v>300</v>
      </c>
      <c r="B117" t="s">
        <v>50</v>
      </c>
      <c r="C117">
        <v>2004</v>
      </c>
      <c r="D117" t="s">
        <v>1614</v>
      </c>
    </row>
    <row r="118" spans="1:4" x14ac:dyDescent="0.35">
      <c r="A118">
        <v>301</v>
      </c>
      <c r="B118" t="s">
        <v>44</v>
      </c>
      <c r="C118">
        <v>1998</v>
      </c>
      <c r="D118" t="s">
        <v>1615</v>
      </c>
    </row>
    <row r="119" spans="1:4" x14ac:dyDescent="0.35">
      <c r="A119">
        <v>302</v>
      </c>
      <c r="B119" t="s">
        <v>45</v>
      </c>
      <c r="C119">
        <v>2011</v>
      </c>
      <c r="D119" t="s">
        <v>1616</v>
      </c>
    </row>
    <row r="120" spans="1:4" x14ac:dyDescent="0.35">
      <c r="A120">
        <v>303</v>
      </c>
      <c r="B120" t="s">
        <v>1093</v>
      </c>
      <c r="C120">
        <v>1986</v>
      </c>
      <c r="D120" t="s">
        <v>1617</v>
      </c>
    </row>
    <row r="121" spans="1:4" x14ac:dyDescent="0.35">
      <c r="A121">
        <v>304</v>
      </c>
      <c r="B121" t="s">
        <v>124</v>
      </c>
      <c r="C121">
        <v>2000</v>
      </c>
      <c r="D121" t="s">
        <v>1618</v>
      </c>
    </row>
    <row r="122" spans="1:4" x14ac:dyDescent="0.35">
      <c r="A122">
        <v>305</v>
      </c>
      <c r="B122" t="s">
        <v>1165</v>
      </c>
      <c r="C122">
        <v>2014</v>
      </c>
      <c r="D122" t="s">
        <v>1620</v>
      </c>
    </row>
    <row r="123" spans="1:4" x14ac:dyDescent="0.35">
      <c r="A123">
        <v>306</v>
      </c>
      <c r="B123" t="s">
        <v>371</v>
      </c>
      <c r="C123">
        <v>2015</v>
      </c>
      <c r="D123" t="s">
        <v>1619</v>
      </c>
    </row>
    <row r="124" spans="1:4" x14ac:dyDescent="0.35">
      <c r="A124">
        <v>307</v>
      </c>
      <c r="B124" t="s">
        <v>395</v>
      </c>
      <c r="C124">
        <v>2003</v>
      </c>
      <c r="D124" t="s">
        <v>1621</v>
      </c>
    </row>
    <row r="125" spans="1:4" x14ac:dyDescent="0.35">
      <c r="A125">
        <v>308</v>
      </c>
      <c r="B125" t="s">
        <v>1197</v>
      </c>
      <c r="C125">
        <v>2011</v>
      </c>
      <c r="D125" t="s">
        <v>1622</v>
      </c>
    </row>
    <row r="126" spans="1:4" x14ac:dyDescent="0.35">
      <c r="A126">
        <v>309</v>
      </c>
      <c r="B126" t="s">
        <v>1269</v>
      </c>
      <c r="C126">
        <v>1981</v>
      </c>
      <c r="D126" t="s">
        <v>1623</v>
      </c>
    </row>
    <row r="127" spans="1:4" x14ac:dyDescent="0.35">
      <c r="A127">
        <v>310</v>
      </c>
      <c r="B127" t="s">
        <v>1205</v>
      </c>
      <c r="C127">
        <v>2017</v>
      </c>
      <c r="D127" t="s">
        <v>1558</v>
      </c>
    </row>
    <row r="128" spans="1:4" x14ac:dyDescent="0.35">
      <c r="A128">
        <v>311</v>
      </c>
      <c r="B128" t="s">
        <v>270</v>
      </c>
      <c r="C128">
        <v>1988</v>
      </c>
      <c r="D128" t="s">
        <v>1624</v>
      </c>
    </row>
    <row r="129" spans="1:4" x14ac:dyDescent="0.35">
      <c r="A129">
        <v>312</v>
      </c>
      <c r="B129" t="s">
        <v>130</v>
      </c>
      <c r="C129">
        <v>2005</v>
      </c>
      <c r="D129" t="s">
        <v>1625</v>
      </c>
    </row>
    <row r="130" spans="1:4" x14ac:dyDescent="0.35">
      <c r="A130">
        <v>313</v>
      </c>
      <c r="B130" t="s">
        <v>345</v>
      </c>
      <c r="C130">
        <v>2023</v>
      </c>
      <c r="D130" t="s">
        <v>1626</v>
      </c>
    </row>
    <row r="131" spans="1:4" x14ac:dyDescent="0.35">
      <c r="A131">
        <v>314</v>
      </c>
      <c r="B131" t="s">
        <v>1241</v>
      </c>
      <c r="C131">
        <v>2006</v>
      </c>
      <c r="D131" t="s">
        <v>1627</v>
      </c>
    </row>
    <row r="132" spans="1:4" x14ac:dyDescent="0.35">
      <c r="A132">
        <v>315</v>
      </c>
      <c r="B132" t="s">
        <v>1126</v>
      </c>
      <c r="C132">
        <v>2006</v>
      </c>
      <c r="D132" t="s">
        <v>1628</v>
      </c>
    </row>
    <row r="133" spans="1:4" x14ac:dyDescent="0.35">
      <c r="A133">
        <v>316</v>
      </c>
      <c r="B133" t="s">
        <v>1149</v>
      </c>
      <c r="C133">
        <v>2013</v>
      </c>
      <c r="D133" t="s">
        <v>1629</v>
      </c>
    </row>
    <row r="134" spans="1:4" x14ac:dyDescent="0.35">
      <c r="A134">
        <v>318</v>
      </c>
      <c r="B134" t="s">
        <v>349</v>
      </c>
      <c r="C134">
        <v>2015</v>
      </c>
      <c r="D134" t="s">
        <v>1630</v>
      </c>
    </row>
    <row r="135" spans="1:4" x14ac:dyDescent="0.35">
      <c r="A135">
        <v>319</v>
      </c>
      <c r="B135" t="s">
        <v>350</v>
      </c>
      <c r="C135">
        <v>2015</v>
      </c>
      <c r="D135" t="s">
        <v>1631</v>
      </c>
    </row>
    <row r="136" spans="1:4" x14ac:dyDescent="0.35">
      <c r="A136">
        <v>320</v>
      </c>
      <c r="B136" t="s">
        <v>1240</v>
      </c>
      <c r="C136">
        <v>2015</v>
      </c>
      <c r="D136" t="s">
        <v>1632</v>
      </c>
    </row>
    <row r="137" spans="1:4" x14ac:dyDescent="0.35">
      <c r="A137">
        <v>321</v>
      </c>
      <c r="B137" t="s">
        <v>1170</v>
      </c>
      <c r="C137">
        <v>2011</v>
      </c>
      <c r="D137" t="s">
        <v>1633</v>
      </c>
    </row>
    <row r="138" spans="1:4" x14ac:dyDescent="0.35">
      <c r="A138">
        <v>322</v>
      </c>
      <c r="B138" t="s">
        <v>108</v>
      </c>
      <c r="C138">
        <v>2019</v>
      </c>
      <c r="D138" t="s">
        <v>1634</v>
      </c>
    </row>
    <row r="139" spans="1:4" x14ac:dyDescent="0.35">
      <c r="A139">
        <v>323</v>
      </c>
      <c r="B139" t="s">
        <v>1136</v>
      </c>
      <c r="C139">
        <v>2006</v>
      </c>
      <c r="D139" t="s">
        <v>1635</v>
      </c>
    </row>
    <row r="140" spans="1:4" x14ac:dyDescent="0.35">
      <c r="A140">
        <v>324</v>
      </c>
      <c r="B140" t="s">
        <v>119</v>
      </c>
      <c r="C140">
        <v>1994</v>
      </c>
      <c r="D140" t="s">
        <v>1636</v>
      </c>
    </row>
    <row r="141" spans="1:4" x14ac:dyDescent="0.35">
      <c r="A141">
        <v>325</v>
      </c>
      <c r="B141" t="s">
        <v>1305</v>
      </c>
      <c r="C141">
        <v>2024</v>
      </c>
      <c r="D141" t="s">
        <v>1637</v>
      </c>
    </row>
    <row r="142" spans="1:4" x14ac:dyDescent="0.35">
      <c r="A142">
        <v>326</v>
      </c>
      <c r="B142" t="s">
        <v>1138</v>
      </c>
      <c r="C142">
        <v>2009</v>
      </c>
      <c r="D142" t="s">
        <v>1638</v>
      </c>
    </row>
    <row r="143" spans="1:4" x14ac:dyDescent="0.35">
      <c r="A143">
        <v>327</v>
      </c>
      <c r="B143" t="s">
        <v>274</v>
      </c>
      <c r="C143">
        <v>2018</v>
      </c>
      <c r="D143" t="s">
        <v>1639</v>
      </c>
    </row>
    <row r="144" spans="1:4" x14ac:dyDescent="0.35">
      <c r="A144">
        <v>328</v>
      </c>
      <c r="B144" t="s">
        <v>252</v>
      </c>
      <c r="C144">
        <v>2010</v>
      </c>
      <c r="D144" t="s">
        <v>1640</v>
      </c>
    </row>
    <row r="145" spans="1:4" x14ac:dyDescent="0.35">
      <c r="A145">
        <v>329</v>
      </c>
      <c r="B145" t="s">
        <v>1134</v>
      </c>
      <c r="C145">
        <v>1996</v>
      </c>
      <c r="D145" t="s">
        <v>1641</v>
      </c>
    </row>
    <row r="146" spans="1:4" x14ac:dyDescent="0.35">
      <c r="A146">
        <v>330</v>
      </c>
      <c r="B146" t="s">
        <v>1154</v>
      </c>
      <c r="C146">
        <v>1914</v>
      </c>
      <c r="D146" t="s">
        <v>1642</v>
      </c>
    </row>
    <row r="147" spans="1:4" x14ac:dyDescent="0.35">
      <c r="A147">
        <v>331</v>
      </c>
      <c r="B147" t="s">
        <v>1645</v>
      </c>
      <c r="C147">
        <v>2007</v>
      </c>
      <c r="D147" t="s">
        <v>1644</v>
      </c>
    </row>
    <row r="148" spans="1:4" x14ac:dyDescent="0.35">
      <c r="A148">
        <v>332</v>
      </c>
      <c r="B148" t="s">
        <v>1646</v>
      </c>
      <c r="C148">
        <v>2007</v>
      </c>
      <c r="D148" t="s">
        <v>1643</v>
      </c>
    </row>
    <row r="149" spans="1:4" x14ac:dyDescent="0.35">
      <c r="A149">
        <v>333</v>
      </c>
      <c r="B149" t="s">
        <v>1157</v>
      </c>
      <c r="C149">
        <v>1990</v>
      </c>
      <c r="D149" t="s">
        <v>1647</v>
      </c>
    </row>
    <row r="150" spans="1:4" x14ac:dyDescent="0.35">
      <c r="A150">
        <v>334</v>
      </c>
      <c r="B150" t="s">
        <v>127</v>
      </c>
      <c r="C150">
        <v>2009</v>
      </c>
      <c r="D150" t="s">
        <v>1648</v>
      </c>
    </row>
    <row r="151" spans="1:4" x14ac:dyDescent="0.35">
      <c r="A151">
        <v>335</v>
      </c>
      <c r="B151" t="s">
        <v>313</v>
      </c>
      <c r="C151">
        <v>2015</v>
      </c>
      <c r="D151" t="s">
        <v>1649</v>
      </c>
    </row>
    <row r="152" spans="1:4" x14ac:dyDescent="0.35">
      <c r="A152">
        <v>336</v>
      </c>
      <c r="B152" t="s">
        <v>1156</v>
      </c>
      <c r="C152">
        <v>1968</v>
      </c>
      <c r="D152" t="s">
        <v>1650</v>
      </c>
    </row>
    <row r="153" spans="1:4" x14ac:dyDescent="0.35">
      <c r="A153">
        <v>337</v>
      </c>
      <c r="B153" t="s">
        <v>278</v>
      </c>
      <c r="C153">
        <v>1996</v>
      </c>
      <c r="D153" t="s">
        <v>1651</v>
      </c>
    </row>
    <row r="154" spans="1:4" x14ac:dyDescent="0.35">
      <c r="A154">
        <v>338</v>
      </c>
      <c r="B154" t="s">
        <v>1096</v>
      </c>
      <c r="C154">
        <v>1996</v>
      </c>
      <c r="D154" t="s">
        <v>1652</v>
      </c>
    </row>
    <row r="155" spans="1:4" x14ac:dyDescent="0.35">
      <c r="A155">
        <v>339</v>
      </c>
      <c r="B155" t="s">
        <v>1163</v>
      </c>
      <c r="C155">
        <v>1983</v>
      </c>
      <c r="D155" t="s">
        <v>1653</v>
      </c>
    </row>
    <row r="156" spans="1:4" x14ac:dyDescent="0.35">
      <c r="A156">
        <v>340</v>
      </c>
      <c r="B156" t="s">
        <v>1259</v>
      </c>
      <c r="C156">
        <v>2021</v>
      </c>
      <c r="D156" t="s">
        <v>1654</v>
      </c>
    </row>
    <row r="157" spans="1:4" x14ac:dyDescent="0.35">
      <c r="A157">
        <v>341</v>
      </c>
      <c r="B157" t="s">
        <v>1092</v>
      </c>
      <c r="C157">
        <v>1983</v>
      </c>
      <c r="D157" t="s">
        <v>1655</v>
      </c>
    </row>
    <row r="158" spans="1:4" x14ac:dyDescent="0.35">
      <c r="A158">
        <v>342</v>
      </c>
      <c r="B158" t="s">
        <v>1114</v>
      </c>
      <c r="C158">
        <v>1985</v>
      </c>
      <c r="D158" t="s">
        <v>1656</v>
      </c>
    </row>
    <row r="159" spans="1:4" x14ac:dyDescent="0.35">
      <c r="A159">
        <v>343</v>
      </c>
      <c r="B159" t="s">
        <v>1252</v>
      </c>
      <c r="C159">
        <v>2004</v>
      </c>
      <c r="D159" t="s">
        <v>1657</v>
      </c>
    </row>
    <row r="160" spans="1:4" x14ac:dyDescent="0.35">
      <c r="A160">
        <v>344</v>
      </c>
      <c r="B160" t="s">
        <v>169</v>
      </c>
      <c r="C160">
        <v>2009</v>
      </c>
      <c r="D160" t="s">
        <v>1658</v>
      </c>
    </row>
    <row r="161" spans="1:4" x14ac:dyDescent="0.35">
      <c r="A161">
        <v>345</v>
      </c>
      <c r="B161" t="s">
        <v>1253</v>
      </c>
      <c r="C161">
        <v>2005</v>
      </c>
      <c r="D161" t="s">
        <v>1659</v>
      </c>
    </row>
    <row r="162" spans="1:4" x14ac:dyDescent="0.35">
      <c r="A162">
        <v>346</v>
      </c>
      <c r="B162" t="s">
        <v>227</v>
      </c>
      <c r="C162">
        <v>2020</v>
      </c>
      <c r="D162" t="s">
        <v>1660</v>
      </c>
    </row>
    <row r="163" spans="1:4" x14ac:dyDescent="0.35">
      <c r="A163">
        <v>347</v>
      </c>
      <c r="B163" t="s">
        <v>1095</v>
      </c>
      <c r="C163">
        <v>1995</v>
      </c>
      <c r="D163" t="s">
        <v>1661</v>
      </c>
    </row>
    <row r="164" spans="1:4" x14ac:dyDescent="0.35">
      <c r="A164">
        <v>348</v>
      </c>
      <c r="B164" t="s">
        <v>1473</v>
      </c>
      <c r="C164">
        <v>2025</v>
      </c>
      <c r="D164" t="s">
        <v>1474</v>
      </c>
    </row>
    <row r="165" spans="1:4" x14ac:dyDescent="0.35">
      <c r="A165">
        <v>349</v>
      </c>
      <c r="B165" t="s">
        <v>1173</v>
      </c>
      <c r="C165">
        <v>1984</v>
      </c>
      <c r="D165" t="s">
        <v>1662</v>
      </c>
    </row>
    <row r="166" spans="1:4" x14ac:dyDescent="0.35">
      <c r="A166">
        <v>350</v>
      </c>
      <c r="B166" t="s">
        <v>1164</v>
      </c>
      <c r="C166">
        <v>2011</v>
      </c>
      <c r="D166" t="s">
        <v>1663</v>
      </c>
    </row>
    <row r="167" spans="1:4" x14ac:dyDescent="0.35">
      <c r="A167">
        <v>351</v>
      </c>
      <c r="B167" t="s">
        <v>1666</v>
      </c>
      <c r="C167">
        <v>2001</v>
      </c>
      <c r="D167" t="s">
        <v>1667</v>
      </c>
    </row>
  </sheetData>
  <autoFilter ref="A1:D122" xr:uid="{A745F343-A142-424F-B319-CF12FAEC0814}">
    <sortState xmlns:xlrd2="http://schemas.microsoft.com/office/spreadsheetml/2017/richdata2" ref="A2:D166">
      <sortCondition ref="A1:A122"/>
    </sortState>
  </autoFilter>
  <phoneticPr fontId="2" type="noConversion"/>
  <conditionalFormatting sqref="B156:B161">
    <cfRule type="endsWith" dxfId="4" priority="9" operator="endsWith" text="NA">
      <formula>RIGHT(B156,LEN("NA"))="NA"</formula>
    </cfRule>
    <cfRule type="containsBlanks" dxfId="3" priority="10">
      <formula>LEN(TRIM(B156))=0</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DAF6F-187D-4539-BB4B-486AB5925EFB}">
  <dimension ref="A1:AB60"/>
  <sheetViews>
    <sheetView zoomScale="70" zoomScaleNormal="70" workbookViewId="0">
      <pane xSplit="3" ySplit="1" topLeftCell="G2" activePane="bottomRight" state="frozen"/>
      <selection pane="topRight" activeCell="D1" sqref="D1"/>
      <selection pane="bottomLeft" activeCell="A2" sqref="A2"/>
      <selection pane="bottomRight"/>
    </sheetView>
  </sheetViews>
  <sheetFormatPr defaultRowHeight="14.5" x14ac:dyDescent="0.35"/>
  <cols>
    <col min="1" max="1" width="17" bestFit="1" customWidth="1"/>
    <col min="2" max="2" width="17" customWidth="1"/>
    <col min="3" max="3" width="30.08984375" bestFit="1" customWidth="1"/>
    <col min="4" max="4" width="30.08984375" customWidth="1"/>
    <col min="5" max="5" width="12.08984375" bestFit="1" customWidth="1"/>
    <col min="6" max="12" width="22.54296875" customWidth="1"/>
    <col min="13" max="13" width="23.54296875" customWidth="1"/>
    <col min="14" max="14" width="17.7265625" bestFit="1" customWidth="1"/>
    <col min="15" max="15" width="19.1796875" bestFit="1" customWidth="1"/>
    <col min="16" max="16" width="15.54296875" bestFit="1" customWidth="1"/>
    <col min="17" max="17" width="22.08984375" bestFit="1" customWidth="1"/>
    <col min="18" max="18" width="13.36328125" bestFit="1" customWidth="1"/>
    <col min="19" max="19" width="17.81640625" bestFit="1" customWidth="1"/>
    <col min="21" max="21" width="31.6328125" bestFit="1" customWidth="1"/>
    <col min="22" max="22" width="26.1796875" bestFit="1" customWidth="1"/>
    <col min="23" max="23" width="22.453125" bestFit="1" customWidth="1"/>
    <col min="24" max="24" width="24.81640625" bestFit="1" customWidth="1"/>
    <col min="25" max="25" width="25.90625" bestFit="1" customWidth="1"/>
    <col min="26" max="26" width="20.453125" bestFit="1" customWidth="1"/>
    <col min="27" max="28" width="22.90625" bestFit="1" customWidth="1"/>
  </cols>
  <sheetData>
    <row r="1" spans="1:28" s="1" customFormat="1" x14ac:dyDescent="0.35">
      <c r="A1" s="1" t="s">
        <v>928</v>
      </c>
      <c r="B1" s="1" t="s">
        <v>929</v>
      </c>
      <c r="C1" s="7" t="s">
        <v>927</v>
      </c>
      <c r="D1" s="7" t="s">
        <v>946</v>
      </c>
      <c r="E1" s="7" t="s">
        <v>930</v>
      </c>
      <c r="F1" s="7" t="s">
        <v>926</v>
      </c>
      <c r="G1" s="7" t="s">
        <v>1501</v>
      </c>
      <c r="H1" s="7" t="s">
        <v>1502</v>
      </c>
      <c r="I1" s="1" t="s">
        <v>1176</v>
      </c>
      <c r="J1" s="1" t="s">
        <v>1177</v>
      </c>
      <c r="K1" s="1" t="s">
        <v>1503</v>
      </c>
      <c r="L1" s="1" t="s">
        <v>1504</v>
      </c>
      <c r="M1" s="7" t="s">
        <v>925</v>
      </c>
      <c r="N1" s="2" t="s">
        <v>996</v>
      </c>
      <c r="O1" s="2" t="s">
        <v>997</v>
      </c>
      <c r="P1" s="2" t="s">
        <v>998</v>
      </c>
      <c r="Q1" s="2" t="s">
        <v>999</v>
      </c>
      <c r="R1" s="2" t="s">
        <v>1000</v>
      </c>
      <c r="S1" s="2" t="s">
        <v>1001</v>
      </c>
      <c r="T1" s="2" t="s">
        <v>943</v>
      </c>
      <c r="U1" s="2" t="s">
        <v>939</v>
      </c>
      <c r="V1" s="2" t="s">
        <v>940</v>
      </c>
      <c r="W1" s="2" t="s">
        <v>941</v>
      </c>
      <c r="X1" s="2" t="s">
        <v>942</v>
      </c>
      <c r="Y1" s="2" t="s">
        <v>1002</v>
      </c>
      <c r="Z1" s="2" t="s">
        <v>1003</v>
      </c>
      <c r="AA1" s="2" t="s">
        <v>1004</v>
      </c>
      <c r="AB1" s="2" t="s">
        <v>1005</v>
      </c>
    </row>
    <row r="2" spans="1:28" x14ac:dyDescent="0.35">
      <c r="A2">
        <v>1</v>
      </c>
      <c r="B2">
        <f>_xlfn.XLOOKUP(C2, csl_deposits!B:B, csl_deposits!A:A, "NA", 0,1)</f>
        <v>38</v>
      </c>
      <c r="C2" t="s">
        <v>702</v>
      </c>
      <c r="D2" t="s">
        <v>511</v>
      </c>
      <c r="E2">
        <v>155</v>
      </c>
      <c r="F2" s="3" t="s">
        <v>229</v>
      </c>
      <c r="G2">
        <v>-7.43</v>
      </c>
      <c r="H2">
        <v>30.52</v>
      </c>
      <c r="I2">
        <v>302</v>
      </c>
      <c r="J2" t="s">
        <v>1166</v>
      </c>
      <c r="K2">
        <v>-7.6114185000000001</v>
      </c>
      <c r="L2">
        <v>30.5096448</v>
      </c>
      <c r="M2" t="s">
        <v>24</v>
      </c>
      <c r="N2" t="s">
        <v>1175</v>
      </c>
      <c r="R2" t="s">
        <v>230</v>
      </c>
      <c r="U2" t="s">
        <v>225</v>
      </c>
    </row>
    <row r="3" spans="1:28" x14ac:dyDescent="0.35">
      <c r="A3">
        <v>2</v>
      </c>
      <c r="B3">
        <f>_xlfn.XLOOKUP(C3, csl_deposits!B:B, csl_deposits!A:A, "NA", 0,1)</f>
        <v>38</v>
      </c>
      <c r="C3" t="s">
        <v>702</v>
      </c>
      <c r="D3" t="s">
        <v>511</v>
      </c>
      <c r="E3">
        <v>156</v>
      </c>
      <c r="F3" s="3" t="s">
        <v>383</v>
      </c>
      <c r="G3">
        <v>-7.27</v>
      </c>
      <c r="H3">
        <v>30.72</v>
      </c>
      <c r="I3">
        <v>302</v>
      </c>
      <c r="J3" t="s">
        <v>1166</v>
      </c>
      <c r="K3">
        <v>-7.6114185000000001</v>
      </c>
      <c r="L3">
        <v>30.5096448</v>
      </c>
      <c r="M3" t="s">
        <v>24</v>
      </c>
      <c r="N3" t="s">
        <v>1175</v>
      </c>
      <c r="R3" t="s">
        <v>230</v>
      </c>
      <c r="U3" t="s">
        <v>225</v>
      </c>
    </row>
    <row r="4" spans="1:28" x14ac:dyDescent="0.35">
      <c r="A4">
        <v>9</v>
      </c>
      <c r="B4">
        <f>_xlfn.XLOOKUP(C4, csl_deposits!B:B, csl_deposits!A:A, "NA", 0,1)</f>
        <v>77</v>
      </c>
      <c r="C4" t="s">
        <v>871</v>
      </c>
      <c r="D4" t="s">
        <v>511</v>
      </c>
      <c r="E4">
        <v>154</v>
      </c>
      <c r="F4" s="3" t="s">
        <v>379</v>
      </c>
      <c r="G4">
        <v>-6.51</v>
      </c>
      <c r="H4">
        <v>30.56</v>
      </c>
      <c r="I4">
        <v>302</v>
      </c>
      <c r="J4" t="s">
        <v>1166</v>
      </c>
      <c r="K4">
        <v>-7.6114185000000001</v>
      </c>
      <c r="L4">
        <v>30.5096448</v>
      </c>
      <c r="M4" t="s">
        <v>24</v>
      </c>
      <c r="N4" t="s">
        <v>1175</v>
      </c>
      <c r="O4" t="s">
        <v>387</v>
      </c>
      <c r="S4" t="s">
        <v>1034</v>
      </c>
      <c r="U4" t="s">
        <v>390</v>
      </c>
      <c r="V4" t="s">
        <v>225</v>
      </c>
    </row>
    <row r="5" spans="1:28" x14ac:dyDescent="0.35">
      <c r="A5">
        <v>10</v>
      </c>
      <c r="B5">
        <f>_xlfn.XLOOKUP(C5, csl_deposits!B:B, csl_deposits!A:A, "NA", 0,1)</f>
        <v>77</v>
      </c>
      <c r="C5" t="s">
        <v>871</v>
      </c>
      <c r="D5" t="s">
        <v>511</v>
      </c>
      <c r="E5">
        <v>275</v>
      </c>
      <c r="F5" s="3" t="s">
        <v>315</v>
      </c>
      <c r="G5">
        <v>-6.9</v>
      </c>
      <c r="H5">
        <v>30.42</v>
      </c>
      <c r="I5">
        <v>302</v>
      </c>
      <c r="J5" t="s">
        <v>1166</v>
      </c>
      <c r="K5">
        <v>-7.6114185000000001</v>
      </c>
      <c r="L5">
        <v>30.5096448</v>
      </c>
      <c r="M5" t="s">
        <v>24</v>
      </c>
      <c r="N5" t="s">
        <v>1175</v>
      </c>
      <c r="O5" t="s">
        <v>387</v>
      </c>
      <c r="S5" t="s">
        <v>1034</v>
      </c>
      <c r="U5" t="s">
        <v>225</v>
      </c>
    </row>
    <row r="6" spans="1:28" x14ac:dyDescent="0.35">
      <c r="A6">
        <v>11</v>
      </c>
      <c r="B6">
        <f>_xlfn.XLOOKUP(C6, csl_deposits!B:B, csl_deposits!A:A, "NA", 0,1)</f>
        <v>77</v>
      </c>
      <c r="C6" t="s">
        <v>871</v>
      </c>
      <c r="D6" t="s">
        <v>511</v>
      </c>
      <c r="E6">
        <v>157</v>
      </c>
      <c r="F6" s="3" t="s">
        <v>373</v>
      </c>
      <c r="G6">
        <v>-7.56</v>
      </c>
      <c r="H6">
        <v>30.76</v>
      </c>
      <c r="I6">
        <v>302</v>
      </c>
      <c r="J6" t="s">
        <v>1166</v>
      </c>
      <c r="K6">
        <v>-7.6114185000000001</v>
      </c>
      <c r="L6">
        <v>30.5096448</v>
      </c>
      <c r="M6" t="s">
        <v>24</v>
      </c>
      <c r="N6" t="s">
        <v>1175</v>
      </c>
      <c r="O6" t="s">
        <v>387</v>
      </c>
      <c r="S6" t="s">
        <v>1034</v>
      </c>
      <c r="U6" t="s">
        <v>225</v>
      </c>
    </row>
    <row r="7" spans="1:28" x14ac:dyDescent="0.35">
      <c r="A7">
        <v>12</v>
      </c>
      <c r="B7">
        <f>_xlfn.XLOOKUP(C7, csl_deposits!B:B, csl_deposits!A:A, "NA", 0,1)</f>
        <v>77</v>
      </c>
      <c r="C7" t="s">
        <v>871</v>
      </c>
      <c r="D7" t="s">
        <v>511</v>
      </c>
      <c r="E7">
        <v>276</v>
      </c>
      <c r="F7" s="3" t="s">
        <v>1167</v>
      </c>
      <c r="G7">
        <v>-8.48</v>
      </c>
      <c r="H7">
        <v>30.24</v>
      </c>
      <c r="I7">
        <v>302</v>
      </c>
      <c r="J7" t="s">
        <v>1166</v>
      </c>
      <c r="K7">
        <v>-7.6114185000000001</v>
      </c>
      <c r="L7">
        <v>30.5096448</v>
      </c>
      <c r="M7" t="s">
        <v>24</v>
      </c>
      <c r="N7" t="s">
        <v>1175</v>
      </c>
      <c r="O7" t="s">
        <v>387</v>
      </c>
      <c r="S7" t="s">
        <v>1034</v>
      </c>
      <c r="U7" t="s">
        <v>225</v>
      </c>
    </row>
    <row r="8" spans="1:28" x14ac:dyDescent="0.35">
      <c r="A8">
        <v>13</v>
      </c>
      <c r="B8">
        <f>_xlfn.XLOOKUP(C8, csl_deposits!B:B, csl_deposits!A:A, "NA", 0,1)</f>
        <v>1</v>
      </c>
      <c r="C8" t="s">
        <v>509</v>
      </c>
      <c r="D8" t="s">
        <v>511</v>
      </c>
      <c r="E8">
        <v>305</v>
      </c>
      <c r="F8" t="s">
        <v>4</v>
      </c>
      <c r="G8">
        <v>44.225560000000002</v>
      </c>
      <c r="H8">
        <v>23.71837</v>
      </c>
      <c r="I8">
        <v>305</v>
      </c>
      <c r="J8" t="s">
        <v>4</v>
      </c>
      <c r="K8">
        <v>44.225560000000002</v>
      </c>
      <c r="L8">
        <v>23.71837</v>
      </c>
      <c r="M8" t="s">
        <v>24</v>
      </c>
      <c r="O8" t="s">
        <v>15</v>
      </c>
      <c r="Q8" t="s">
        <v>16</v>
      </c>
      <c r="S8" t="s">
        <v>509</v>
      </c>
      <c r="U8" t="s">
        <v>1178</v>
      </c>
      <c r="V8" t="s">
        <v>1436</v>
      </c>
      <c r="W8" t="s">
        <v>10</v>
      </c>
    </row>
    <row r="9" spans="1:28" x14ac:dyDescent="0.35">
      <c r="A9">
        <v>18</v>
      </c>
      <c r="B9">
        <f>_xlfn.XLOOKUP(C9, csl_deposits!B:B, csl_deposits!A:A, "NA", 0,1)</f>
        <v>14</v>
      </c>
      <c r="C9" t="s">
        <v>582</v>
      </c>
      <c r="D9" t="s">
        <v>511</v>
      </c>
      <c r="E9">
        <v>151</v>
      </c>
      <c r="F9" t="s">
        <v>83</v>
      </c>
      <c r="G9">
        <v>144.862487484181</v>
      </c>
      <c r="H9">
        <v>-40.7438283474972</v>
      </c>
      <c r="I9">
        <v>310</v>
      </c>
      <c r="J9" t="s">
        <v>457</v>
      </c>
      <c r="K9">
        <v>144.80629007504999</v>
      </c>
      <c r="L9">
        <v>-40.772982706328499</v>
      </c>
      <c r="M9" t="s">
        <v>24</v>
      </c>
      <c r="O9" t="s">
        <v>85</v>
      </c>
      <c r="P9" t="s">
        <v>86</v>
      </c>
      <c r="Q9" t="s">
        <v>1101</v>
      </c>
      <c r="U9" t="s">
        <v>1102</v>
      </c>
      <c r="V9" t="s">
        <v>1103</v>
      </c>
      <c r="W9" t="s">
        <v>1104</v>
      </c>
      <c r="X9" t="s">
        <v>75</v>
      </c>
      <c r="Y9" t="s">
        <v>74</v>
      </c>
      <c r="Z9" t="s">
        <v>1105</v>
      </c>
      <c r="AA9" t="s">
        <v>458</v>
      </c>
    </row>
    <row r="10" spans="1:28" x14ac:dyDescent="0.35">
      <c r="A10">
        <v>28</v>
      </c>
      <c r="B10">
        <f>_xlfn.XLOOKUP(C10, csl_deposits!B:B, csl_deposits!A:A, "NA", 0,1)</f>
        <v>26</v>
      </c>
      <c r="C10" t="s">
        <v>642</v>
      </c>
      <c r="D10" t="s">
        <v>511</v>
      </c>
      <c r="E10">
        <v>152</v>
      </c>
      <c r="F10" t="s">
        <v>134</v>
      </c>
      <c r="G10">
        <v>-53.590888999999997</v>
      </c>
      <c r="H10">
        <v>46.923333999999997</v>
      </c>
      <c r="I10">
        <v>323</v>
      </c>
      <c r="J10" t="s">
        <v>454</v>
      </c>
      <c r="K10">
        <v>-53.321125481998898</v>
      </c>
      <c r="L10">
        <v>47.322524256138401</v>
      </c>
      <c r="M10" t="s">
        <v>24</v>
      </c>
      <c r="O10" t="s">
        <v>136</v>
      </c>
      <c r="Q10" t="s">
        <v>562</v>
      </c>
      <c r="U10" t="s">
        <v>1116</v>
      </c>
      <c r="V10" t="s">
        <v>1117</v>
      </c>
      <c r="W10" t="s">
        <v>138</v>
      </c>
      <c r="X10" t="s">
        <v>1118</v>
      </c>
    </row>
    <row r="11" spans="1:28" x14ac:dyDescent="0.35">
      <c r="A11">
        <v>29</v>
      </c>
      <c r="B11">
        <f>_xlfn.XLOOKUP(C11, csl_deposits!B:B, csl_deposits!A:A, "NA", 0,1)</f>
        <v>26</v>
      </c>
      <c r="C11" t="s">
        <v>642</v>
      </c>
      <c r="D11" t="s">
        <v>511</v>
      </c>
      <c r="E11">
        <v>259</v>
      </c>
      <c r="F11" s="3" t="s">
        <v>1119</v>
      </c>
      <c r="G11">
        <v>-53.74</v>
      </c>
      <c r="H11">
        <v>47.04</v>
      </c>
      <c r="I11">
        <v>323</v>
      </c>
      <c r="J11" t="s">
        <v>454</v>
      </c>
      <c r="K11">
        <v>-53.321125481998898</v>
      </c>
      <c r="L11">
        <v>47.322524256138401</v>
      </c>
      <c r="M11" t="s">
        <v>24</v>
      </c>
      <c r="O11" t="s">
        <v>136</v>
      </c>
      <c r="Q11" t="s">
        <v>562</v>
      </c>
      <c r="U11" t="s">
        <v>1116</v>
      </c>
      <c r="V11" t="s">
        <v>1117</v>
      </c>
      <c r="W11" t="s">
        <v>138</v>
      </c>
      <c r="X11" t="s">
        <v>1118</v>
      </c>
    </row>
    <row r="12" spans="1:28" x14ac:dyDescent="0.35">
      <c r="A12">
        <v>30</v>
      </c>
      <c r="B12">
        <f>_xlfn.XLOOKUP(C12, csl_deposits!B:B, csl_deposits!A:A, "NA", 0,1)</f>
        <v>26</v>
      </c>
      <c r="C12" t="s">
        <v>642</v>
      </c>
      <c r="D12" t="s">
        <v>511</v>
      </c>
      <c r="E12">
        <v>260</v>
      </c>
      <c r="F12" s="3" t="s">
        <v>1120</v>
      </c>
      <c r="G12">
        <v>-53.65</v>
      </c>
      <c r="H12">
        <v>46.98</v>
      </c>
      <c r="I12">
        <v>323</v>
      </c>
      <c r="J12" t="s">
        <v>454</v>
      </c>
      <c r="K12">
        <v>-53.321125481998898</v>
      </c>
      <c r="L12">
        <v>47.322524256138401</v>
      </c>
      <c r="M12" t="s">
        <v>24</v>
      </c>
      <c r="O12" t="s">
        <v>136</v>
      </c>
      <c r="Q12" t="s">
        <v>562</v>
      </c>
      <c r="U12" t="s">
        <v>1116</v>
      </c>
      <c r="V12" t="s">
        <v>1117</v>
      </c>
      <c r="W12" t="s">
        <v>138</v>
      </c>
      <c r="X12" t="s">
        <v>1118</v>
      </c>
    </row>
    <row r="13" spans="1:28" x14ac:dyDescent="0.35">
      <c r="A13">
        <v>31</v>
      </c>
      <c r="B13">
        <f>_xlfn.XLOOKUP(C13, csl_deposits!B:B, csl_deposits!A:A, "NA", 0,1)</f>
        <v>50</v>
      </c>
      <c r="C13" t="s">
        <v>763</v>
      </c>
      <c r="D13" t="s">
        <v>511</v>
      </c>
      <c r="E13">
        <v>259</v>
      </c>
      <c r="F13" t="s">
        <v>1119</v>
      </c>
      <c r="G13">
        <v>-53.74</v>
      </c>
      <c r="H13">
        <v>47.04</v>
      </c>
      <c r="I13">
        <v>323</v>
      </c>
      <c r="J13" t="s">
        <v>454</v>
      </c>
      <c r="K13">
        <v>-53.321125481998898</v>
      </c>
      <c r="L13">
        <v>47.322524256138401</v>
      </c>
      <c r="M13" t="s">
        <v>923</v>
      </c>
      <c r="O13" t="s">
        <v>136</v>
      </c>
      <c r="Q13" t="s">
        <v>141</v>
      </c>
      <c r="S13" t="s">
        <v>1142</v>
      </c>
      <c r="U13" t="s">
        <v>270</v>
      </c>
      <c r="V13" t="s">
        <v>138</v>
      </c>
      <c r="W13" t="s">
        <v>1118</v>
      </c>
    </row>
    <row r="14" spans="1:28" x14ac:dyDescent="0.35">
      <c r="A14">
        <v>32</v>
      </c>
      <c r="B14">
        <f>_xlfn.XLOOKUP(C14, csl_deposits!B:B, csl_deposits!A:A, "NA", 0,1)</f>
        <v>79</v>
      </c>
      <c r="C14" t="s">
        <v>403</v>
      </c>
      <c r="D14" t="s">
        <v>511</v>
      </c>
      <c r="E14">
        <v>277</v>
      </c>
      <c r="F14" t="s">
        <v>1168</v>
      </c>
      <c r="G14">
        <v>-53.379779999999997</v>
      </c>
      <c r="H14">
        <v>48.376618999999998</v>
      </c>
      <c r="I14">
        <v>325</v>
      </c>
      <c r="J14" t="s">
        <v>456</v>
      </c>
      <c r="K14">
        <v>-53.578495423021003</v>
      </c>
      <c r="L14">
        <v>48.357597752424802</v>
      </c>
      <c r="M14" t="s">
        <v>24</v>
      </c>
      <c r="O14" t="s">
        <v>407</v>
      </c>
      <c r="Q14" t="s">
        <v>408</v>
      </c>
      <c r="S14" t="s">
        <v>403</v>
      </c>
      <c r="T14" t="s">
        <v>1169</v>
      </c>
      <c r="U14" t="s">
        <v>1170</v>
      </c>
      <c r="V14" t="s">
        <v>138</v>
      </c>
    </row>
    <row r="15" spans="1:28" x14ac:dyDescent="0.35">
      <c r="A15">
        <v>33</v>
      </c>
      <c r="B15">
        <f>_xlfn.XLOOKUP(C15, csl_deposits!B:B, csl_deposits!A:A, "NA", 0,1)</f>
        <v>79</v>
      </c>
      <c r="C15" t="s">
        <v>403</v>
      </c>
      <c r="D15" t="s">
        <v>511</v>
      </c>
      <c r="E15">
        <v>278</v>
      </c>
      <c r="F15" t="s">
        <v>1171</v>
      </c>
      <c r="G15">
        <v>-53.43</v>
      </c>
      <c r="H15">
        <v>48.41</v>
      </c>
      <c r="I15">
        <v>325</v>
      </c>
      <c r="J15" t="s">
        <v>456</v>
      </c>
      <c r="K15">
        <v>-53.578495423021003</v>
      </c>
      <c r="L15">
        <v>48.357597752424802</v>
      </c>
      <c r="M15" t="s">
        <v>24</v>
      </c>
      <c r="O15" t="s">
        <v>407</v>
      </c>
      <c r="Q15" t="s">
        <v>408</v>
      </c>
      <c r="S15" t="s">
        <v>403</v>
      </c>
      <c r="T15" t="s">
        <v>1169</v>
      </c>
      <c r="U15" t="s">
        <v>138</v>
      </c>
    </row>
    <row r="16" spans="1:28" x14ac:dyDescent="0.35">
      <c r="A16">
        <v>34</v>
      </c>
      <c r="B16">
        <f>_xlfn.XLOOKUP(C16, csl_deposits!B:B, csl_deposits!A:A, "NA", 0,1)</f>
        <v>79</v>
      </c>
      <c r="C16" t="s">
        <v>403</v>
      </c>
      <c r="D16" t="s">
        <v>511</v>
      </c>
      <c r="E16">
        <v>279</v>
      </c>
      <c r="F16" t="s">
        <v>405</v>
      </c>
      <c r="G16">
        <v>-53.43</v>
      </c>
      <c r="H16">
        <v>48.29</v>
      </c>
      <c r="I16">
        <v>325</v>
      </c>
      <c r="J16" t="s">
        <v>456</v>
      </c>
      <c r="K16">
        <v>-53.578495423021003</v>
      </c>
      <c r="L16">
        <v>48.357597752424802</v>
      </c>
      <c r="M16" t="s">
        <v>24</v>
      </c>
      <c r="O16" t="s">
        <v>407</v>
      </c>
      <c r="Q16" t="s">
        <v>408</v>
      </c>
      <c r="S16" t="s">
        <v>403</v>
      </c>
      <c r="T16" t="s">
        <v>1169</v>
      </c>
      <c r="U16" t="s">
        <v>138</v>
      </c>
    </row>
    <row r="17" spans="1:28" x14ac:dyDescent="0.35">
      <c r="A17">
        <v>35</v>
      </c>
      <c r="B17">
        <f>_xlfn.XLOOKUP(C17, csl_deposits!B:B, csl_deposits!A:A, "NA", 0,1)</f>
        <v>79</v>
      </c>
      <c r="C17" t="s">
        <v>403</v>
      </c>
      <c r="D17" t="s">
        <v>511</v>
      </c>
      <c r="E17">
        <v>280</v>
      </c>
      <c r="F17" t="s">
        <v>1172</v>
      </c>
      <c r="G17">
        <v>-53.43</v>
      </c>
      <c r="H17">
        <v>48.28</v>
      </c>
      <c r="I17">
        <v>325</v>
      </c>
      <c r="J17" t="s">
        <v>456</v>
      </c>
      <c r="K17">
        <v>-53.578495423021003</v>
      </c>
      <c r="L17">
        <v>48.357597752424802</v>
      </c>
      <c r="M17" t="s">
        <v>24</v>
      </c>
      <c r="O17" t="s">
        <v>407</v>
      </c>
      <c r="Q17" t="s">
        <v>408</v>
      </c>
      <c r="S17" t="s">
        <v>403</v>
      </c>
      <c r="T17" t="s">
        <v>1169</v>
      </c>
      <c r="U17" t="s">
        <v>138</v>
      </c>
    </row>
    <row r="18" spans="1:28" x14ac:dyDescent="0.35">
      <c r="A18">
        <v>43</v>
      </c>
      <c r="B18">
        <f>_xlfn.XLOOKUP(C18, csl_deposits!B:B, csl_deposits!A:A, "NA", 0,1)</f>
        <v>44</v>
      </c>
      <c r="C18" t="s">
        <v>732</v>
      </c>
      <c r="D18" t="s">
        <v>511</v>
      </c>
      <c r="E18">
        <v>264</v>
      </c>
      <c r="F18" t="s">
        <v>1131</v>
      </c>
      <c r="G18">
        <v>-55.26</v>
      </c>
      <c r="H18">
        <v>-34.71</v>
      </c>
      <c r="I18">
        <v>330</v>
      </c>
      <c r="J18" t="s">
        <v>1132</v>
      </c>
      <c r="K18">
        <v>-55.26</v>
      </c>
      <c r="L18">
        <v>-34.71</v>
      </c>
      <c r="M18" t="s">
        <v>24</v>
      </c>
      <c r="O18" t="s">
        <v>1132</v>
      </c>
      <c r="Q18" t="s">
        <v>1133</v>
      </c>
      <c r="U18" t="s">
        <v>1134</v>
      </c>
      <c r="V18" t="s">
        <v>1135</v>
      </c>
      <c r="W18" t="s">
        <v>1136</v>
      </c>
      <c r="X18" t="s">
        <v>1137</v>
      </c>
      <c r="Y18" t="s">
        <v>1138</v>
      </c>
      <c r="Z18" t="s">
        <v>1139</v>
      </c>
    </row>
    <row r="19" spans="1:28" x14ac:dyDescent="0.35">
      <c r="A19">
        <v>44</v>
      </c>
      <c r="B19">
        <f>_xlfn.XLOOKUP(C19, csl_deposits!B:B, csl_deposits!A:A, "NA", 0,1)</f>
        <v>44</v>
      </c>
      <c r="C19" t="s">
        <v>732</v>
      </c>
      <c r="D19" t="s">
        <v>511</v>
      </c>
      <c r="E19">
        <v>266</v>
      </c>
      <c r="F19" t="s">
        <v>1140</v>
      </c>
      <c r="G19">
        <v>-55.28</v>
      </c>
      <c r="H19">
        <v>-34.369999999999997</v>
      </c>
      <c r="I19">
        <v>330</v>
      </c>
      <c r="J19" t="s">
        <v>1132</v>
      </c>
      <c r="K19">
        <v>-55.26</v>
      </c>
      <c r="L19">
        <v>-34.71</v>
      </c>
      <c r="M19" t="s">
        <v>24</v>
      </c>
      <c r="O19" t="s">
        <v>1132</v>
      </c>
      <c r="Q19" t="s">
        <v>1133</v>
      </c>
      <c r="U19" t="s">
        <v>1137</v>
      </c>
    </row>
    <row r="20" spans="1:28" x14ac:dyDescent="0.35">
      <c r="A20">
        <v>45</v>
      </c>
      <c r="B20">
        <f>_xlfn.XLOOKUP(C20, csl_deposits!B:B, csl_deposits!A:A, "NA", 0,1)</f>
        <v>44</v>
      </c>
      <c r="C20" t="s">
        <v>732</v>
      </c>
      <c r="D20" t="s">
        <v>511</v>
      </c>
      <c r="E20">
        <v>268</v>
      </c>
      <c r="F20" t="s">
        <v>259</v>
      </c>
      <c r="G20">
        <v>-55.24</v>
      </c>
      <c r="H20">
        <v>-34.770000000000003</v>
      </c>
      <c r="I20">
        <v>330</v>
      </c>
      <c r="J20" t="s">
        <v>1132</v>
      </c>
      <c r="K20">
        <v>-55.26</v>
      </c>
      <c r="L20">
        <v>-34.71</v>
      </c>
      <c r="M20" t="s">
        <v>24</v>
      </c>
      <c r="O20" t="s">
        <v>1132</v>
      </c>
      <c r="Q20" t="s">
        <v>1133</v>
      </c>
      <c r="U20" t="s">
        <v>260</v>
      </c>
      <c r="V20" t="s">
        <v>1137</v>
      </c>
    </row>
    <row r="21" spans="1:28" x14ac:dyDescent="0.35">
      <c r="A21">
        <v>46</v>
      </c>
      <c r="B21">
        <f>_xlfn.XLOOKUP(C21, csl_deposits!B:B, csl_deposits!A:A, "NA", 0,1)</f>
        <v>44</v>
      </c>
      <c r="C21" t="s">
        <v>732</v>
      </c>
      <c r="D21" t="s">
        <v>511</v>
      </c>
      <c r="E21">
        <v>267</v>
      </c>
      <c r="F21" t="s">
        <v>254</v>
      </c>
      <c r="G21">
        <v>-55.28</v>
      </c>
      <c r="H21">
        <v>-34.880000000000003</v>
      </c>
      <c r="I21">
        <v>330</v>
      </c>
      <c r="J21" t="s">
        <v>1132</v>
      </c>
      <c r="K21">
        <v>-55.26</v>
      </c>
      <c r="L21">
        <v>-34.71</v>
      </c>
      <c r="M21" t="s">
        <v>24</v>
      </c>
      <c r="O21" t="s">
        <v>1132</v>
      </c>
      <c r="Q21" t="s">
        <v>1133</v>
      </c>
      <c r="U21" t="s">
        <v>257</v>
      </c>
      <c r="V21" t="s">
        <v>1137</v>
      </c>
    </row>
    <row r="22" spans="1:28" x14ac:dyDescent="0.35">
      <c r="A22">
        <v>47</v>
      </c>
      <c r="B22">
        <f>_xlfn.XLOOKUP(C22, csl_deposits!B:B, csl_deposits!A:A, "NA", 0,1)</f>
        <v>44</v>
      </c>
      <c r="C22" t="s">
        <v>732</v>
      </c>
      <c r="D22" t="s">
        <v>511</v>
      </c>
      <c r="E22">
        <v>265</v>
      </c>
      <c r="F22" t="s">
        <v>262</v>
      </c>
      <c r="G22">
        <v>-55.27</v>
      </c>
      <c r="H22">
        <v>-34.53</v>
      </c>
      <c r="I22">
        <v>330</v>
      </c>
      <c r="J22" t="s">
        <v>1132</v>
      </c>
      <c r="K22">
        <v>-55.26</v>
      </c>
      <c r="L22">
        <v>-34.71</v>
      </c>
      <c r="M22" t="s">
        <v>24</v>
      </c>
      <c r="O22" t="s">
        <v>1132</v>
      </c>
      <c r="Q22" t="s">
        <v>1133</v>
      </c>
      <c r="U22" t="s">
        <v>264</v>
      </c>
    </row>
    <row r="23" spans="1:28" x14ac:dyDescent="0.35">
      <c r="A23">
        <v>48</v>
      </c>
      <c r="B23">
        <f>_xlfn.XLOOKUP(C23, csl_deposits!B:B, csl_deposits!A:A, "NA", 0,1)</f>
        <v>9</v>
      </c>
      <c r="C23" t="s">
        <v>559</v>
      </c>
      <c r="D23" t="s">
        <v>511</v>
      </c>
      <c r="E23">
        <v>249</v>
      </c>
      <c r="F23" t="s">
        <v>1091</v>
      </c>
      <c r="G23">
        <v>138.56</v>
      </c>
      <c r="H23">
        <v>-31.43</v>
      </c>
      <c r="I23">
        <v>233</v>
      </c>
      <c r="J23" t="s">
        <v>451</v>
      </c>
      <c r="K23">
        <v>138.664974802903</v>
      </c>
      <c r="L23">
        <v>-31.372567842687999</v>
      </c>
      <c r="M23" t="s">
        <v>1392</v>
      </c>
      <c r="O23" t="s">
        <v>983</v>
      </c>
      <c r="Q23" t="s">
        <v>1008</v>
      </c>
      <c r="U23" t="s">
        <v>1092</v>
      </c>
      <c r="V23" t="s">
        <v>1093</v>
      </c>
      <c r="W23" t="s">
        <v>1094</v>
      </c>
      <c r="X23" t="s">
        <v>1095</v>
      </c>
      <c r="Y23" t="s">
        <v>1096</v>
      </c>
      <c r="Z23" t="s">
        <v>1097</v>
      </c>
      <c r="AA23" t="s">
        <v>1098</v>
      </c>
      <c r="AB23" t="s">
        <v>1099</v>
      </c>
    </row>
    <row r="24" spans="1:28" x14ac:dyDescent="0.35">
      <c r="A24">
        <v>49</v>
      </c>
      <c r="B24">
        <f>_xlfn.XLOOKUP(C24, csl_deposits!B:B, csl_deposits!A:A, "NA", 0,1)</f>
        <v>9</v>
      </c>
      <c r="C24" t="s">
        <v>559</v>
      </c>
      <c r="D24" t="s">
        <v>511</v>
      </c>
      <c r="E24">
        <v>249</v>
      </c>
      <c r="F24" t="s">
        <v>1091</v>
      </c>
      <c r="G24">
        <v>138.56</v>
      </c>
      <c r="H24">
        <v>-31.43</v>
      </c>
      <c r="I24">
        <v>233</v>
      </c>
      <c r="J24" t="s">
        <v>451</v>
      </c>
      <c r="K24">
        <v>138.664974802903</v>
      </c>
      <c r="L24">
        <v>-31.372567842687999</v>
      </c>
      <c r="M24" t="s">
        <v>1393</v>
      </c>
      <c r="O24" t="s">
        <v>983</v>
      </c>
      <c r="Q24" t="s">
        <v>1008</v>
      </c>
      <c r="U24" t="s">
        <v>1092</v>
      </c>
      <c r="V24" t="s">
        <v>1093</v>
      </c>
      <c r="W24" t="s">
        <v>1094</v>
      </c>
      <c r="X24" t="s">
        <v>1095</v>
      </c>
      <c r="Y24" t="s">
        <v>1096</v>
      </c>
      <c r="Z24" t="s">
        <v>1097</v>
      </c>
      <c r="AA24" t="s">
        <v>1098</v>
      </c>
      <c r="AB24" t="s">
        <v>1099</v>
      </c>
    </row>
    <row r="25" spans="1:28" x14ac:dyDescent="0.35">
      <c r="A25">
        <v>50</v>
      </c>
      <c r="B25">
        <f>_xlfn.XLOOKUP(C25, csl_deposits!B:B, csl_deposits!A:A, "NA", 0,1)</f>
        <v>9</v>
      </c>
      <c r="C25" t="s">
        <v>559</v>
      </c>
      <c r="D25" t="s">
        <v>511</v>
      </c>
      <c r="E25">
        <v>250</v>
      </c>
      <c r="F25" t="s">
        <v>1100</v>
      </c>
      <c r="G25">
        <v>138.53</v>
      </c>
      <c r="H25">
        <v>-31.14</v>
      </c>
      <c r="I25">
        <v>233</v>
      </c>
      <c r="J25" t="s">
        <v>451</v>
      </c>
      <c r="K25">
        <v>138.664974802903</v>
      </c>
      <c r="L25">
        <v>-31.372567842687999</v>
      </c>
      <c r="M25" t="s">
        <v>1392</v>
      </c>
      <c r="O25" t="s">
        <v>983</v>
      </c>
      <c r="Q25" t="s">
        <v>1008</v>
      </c>
      <c r="U25" t="s">
        <v>1092</v>
      </c>
      <c r="V25" t="s">
        <v>1093</v>
      </c>
      <c r="W25" t="s">
        <v>1094</v>
      </c>
      <c r="X25" t="s">
        <v>1095</v>
      </c>
      <c r="Y25" t="s">
        <v>1096</v>
      </c>
      <c r="Z25" t="s">
        <v>1097</v>
      </c>
      <c r="AA25" t="s">
        <v>1098</v>
      </c>
      <c r="AB25" t="s">
        <v>1099</v>
      </c>
    </row>
    <row r="26" spans="1:28" x14ac:dyDescent="0.35">
      <c r="A26">
        <v>51</v>
      </c>
      <c r="B26">
        <f>_xlfn.XLOOKUP(C26, csl_deposits!B:B, csl_deposits!A:A, "NA", 0,1)</f>
        <v>9</v>
      </c>
      <c r="C26" t="s">
        <v>559</v>
      </c>
      <c r="D26" t="s">
        <v>511</v>
      </c>
      <c r="E26">
        <v>250</v>
      </c>
      <c r="F26" t="s">
        <v>1100</v>
      </c>
      <c r="G26">
        <v>138.53</v>
      </c>
      <c r="H26">
        <v>-31.14</v>
      </c>
      <c r="I26">
        <v>233</v>
      </c>
      <c r="J26" t="s">
        <v>451</v>
      </c>
      <c r="K26">
        <v>138.664974802903</v>
      </c>
      <c r="L26">
        <v>-31.372567842687999</v>
      </c>
      <c r="M26" t="s">
        <v>1393</v>
      </c>
      <c r="O26" t="s">
        <v>983</v>
      </c>
      <c r="Q26" t="s">
        <v>1008</v>
      </c>
      <c r="U26" t="s">
        <v>1092</v>
      </c>
      <c r="V26" t="s">
        <v>1093</v>
      </c>
      <c r="W26" t="s">
        <v>1094</v>
      </c>
      <c r="X26" t="s">
        <v>1095</v>
      </c>
      <c r="Y26" t="s">
        <v>1096</v>
      </c>
      <c r="Z26" t="s">
        <v>1097</v>
      </c>
      <c r="AA26" t="s">
        <v>1098</v>
      </c>
      <c r="AB26" t="s">
        <v>1099</v>
      </c>
    </row>
    <row r="27" spans="1:28" x14ac:dyDescent="0.35">
      <c r="A27">
        <v>52</v>
      </c>
      <c r="B27">
        <f>_xlfn.XLOOKUP(C27, csl_deposits!B:B, csl_deposits!A:A, "NA", 0,1)</f>
        <v>9</v>
      </c>
      <c r="C27" t="s">
        <v>559</v>
      </c>
      <c r="D27" t="s">
        <v>511</v>
      </c>
      <c r="E27">
        <v>92</v>
      </c>
      <c r="F27" t="s">
        <v>452</v>
      </c>
      <c r="G27">
        <v>138.86761229314399</v>
      </c>
      <c r="H27">
        <v>-31.467181467181401</v>
      </c>
      <c r="I27">
        <v>233</v>
      </c>
      <c r="J27" t="s">
        <v>451</v>
      </c>
      <c r="K27">
        <v>138.664974802903</v>
      </c>
      <c r="L27">
        <v>-31.372567842687999</v>
      </c>
      <c r="M27" t="s">
        <v>1393</v>
      </c>
      <c r="O27" t="s">
        <v>983</v>
      </c>
      <c r="Q27" t="s">
        <v>1008</v>
      </c>
      <c r="U27" t="s">
        <v>1092</v>
      </c>
      <c r="V27" t="s">
        <v>1093</v>
      </c>
      <c r="W27" t="s">
        <v>1094</v>
      </c>
      <c r="X27" t="s">
        <v>1095</v>
      </c>
      <c r="Y27" t="s">
        <v>1096</v>
      </c>
      <c r="Z27" t="s">
        <v>1097</v>
      </c>
      <c r="AA27" t="s">
        <v>1098</v>
      </c>
      <c r="AB27" t="s">
        <v>1099</v>
      </c>
    </row>
    <row r="28" spans="1:28" x14ac:dyDescent="0.35">
      <c r="A28">
        <v>53</v>
      </c>
      <c r="B28">
        <f>_xlfn.XLOOKUP(C28, csl_deposits!B:B, csl_deposits!A:A, "NA", 0,1)</f>
        <v>9</v>
      </c>
      <c r="C28" t="s">
        <v>559</v>
      </c>
      <c r="D28" t="s">
        <v>511</v>
      </c>
      <c r="E28">
        <v>92</v>
      </c>
      <c r="F28" t="s">
        <v>452</v>
      </c>
      <c r="G28">
        <v>138.86761229314399</v>
      </c>
      <c r="H28">
        <v>-31.467181467181401</v>
      </c>
      <c r="I28">
        <v>233</v>
      </c>
      <c r="J28" t="s">
        <v>451</v>
      </c>
      <c r="K28">
        <v>138.664974802903</v>
      </c>
      <c r="L28">
        <v>-31.372567842687999</v>
      </c>
      <c r="M28" t="s">
        <v>1393</v>
      </c>
      <c r="O28" t="s">
        <v>983</v>
      </c>
      <c r="Q28" t="s">
        <v>1008</v>
      </c>
      <c r="U28" t="s">
        <v>1092</v>
      </c>
      <c r="V28" t="s">
        <v>1093</v>
      </c>
      <c r="W28" t="s">
        <v>1094</v>
      </c>
      <c r="X28" t="s">
        <v>1095</v>
      </c>
      <c r="Y28" t="s">
        <v>1096</v>
      </c>
      <c r="Z28" t="s">
        <v>1097</v>
      </c>
      <c r="AA28" t="s">
        <v>1098</v>
      </c>
      <c r="AB28" t="s">
        <v>1099</v>
      </c>
    </row>
    <row r="29" spans="1:28" x14ac:dyDescent="0.35">
      <c r="A29">
        <v>54</v>
      </c>
      <c r="B29">
        <f>_xlfn.XLOOKUP(C29, csl_deposits!B:B, csl_deposits!A:A, "NA", 0,1)</f>
        <v>15</v>
      </c>
      <c r="C29" t="s">
        <v>589</v>
      </c>
      <c r="D29" t="s">
        <v>511</v>
      </c>
      <c r="E29">
        <v>252</v>
      </c>
      <c r="F29" t="s">
        <v>1106</v>
      </c>
      <c r="G29">
        <v>131.94</v>
      </c>
      <c r="H29">
        <v>-28.4</v>
      </c>
      <c r="I29">
        <v>331</v>
      </c>
      <c r="J29" t="s">
        <v>1107</v>
      </c>
      <c r="K29">
        <v>131.94</v>
      </c>
      <c r="L29">
        <v>-28.4</v>
      </c>
      <c r="M29" t="s">
        <v>1393</v>
      </c>
      <c r="O29" t="s">
        <v>1108</v>
      </c>
      <c r="Q29" t="s">
        <v>1109</v>
      </c>
      <c r="U29" t="s">
        <v>1097</v>
      </c>
    </row>
    <row r="30" spans="1:28" x14ac:dyDescent="0.35">
      <c r="A30">
        <v>55</v>
      </c>
      <c r="B30">
        <f>_xlfn.XLOOKUP(C30, csl_deposits!B:B, csl_deposits!A:A, "NA", 0,1)</f>
        <v>15</v>
      </c>
      <c r="C30" t="s">
        <v>589</v>
      </c>
      <c r="D30" t="s">
        <v>511</v>
      </c>
      <c r="E30">
        <v>253</v>
      </c>
      <c r="F30" t="s">
        <v>1110</v>
      </c>
      <c r="G30">
        <v>132.19999999999999</v>
      </c>
      <c r="H30">
        <v>-29.26</v>
      </c>
      <c r="I30">
        <v>331</v>
      </c>
      <c r="J30" t="s">
        <v>1107</v>
      </c>
      <c r="K30">
        <v>131.94</v>
      </c>
      <c r="L30">
        <v>-28.4</v>
      </c>
      <c r="M30" t="s">
        <v>1393</v>
      </c>
      <c r="O30" t="s">
        <v>1108</v>
      </c>
      <c r="Q30" t="s">
        <v>1109</v>
      </c>
      <c r="U30" t="s">
        <v>1097</v>
      </c>
    </row>
    <row r="31" spans="1:28" x14ac:dyDescent="0.35">
      <c r="A31">
        <v>58</v>
      </c>
      <c r="B31">
        <f>_xlfn.XLOOKUP(C31, csl_deposits!B:B, csl_deposits!A:A, "NA", 0,1)</f>
        <v>18</v>
      </c>
      <c r="C31" t="s">
        <v>603</v>
      </c>
      <c r="D31" t="s">
        <v>511</v>
      </c>
      <c r="E31">
        <v>256</v>
      </c>
      <c r="F31" s="3" t="s">
        <v>1398</v>
      </c>
      <c r="G31">
        <v>111.35</v>
      </c>
      <c r="H31">
        <v>30.33</v>
      </c>
      <c r="I31">
        <v>32</v>
      </c>
      <c r="J31" t="s">
        <v>448</v>
      </c>
      <c r="K31">
        <v>111.16</v>
      </c>
      <c r="L31">
        <v>30.79</v>
      </c>
      <c r="M31" t="s">
        <v>1400</v>
      </c>
      <c r="Q31" t="s">
        <v>98</v>
      </c>
      <c r="S31" t="s">
        <v>1402</v>
      </c>
      <c r="U31" t="s">
        <v>101</v>
      </c>
      <c r="V31" t="s">
        <v>29</v>
      </c>
    </row>
    <row r="32" spans="1:28" x14ac:dyDescent="0.35">
      <c r="A32">
        <v>59</v>
      </c>
      <c r="B32">
        <f>_xlfn.XLOOKUP(C32, csl_deposits!B:B, csl_deposits!A:A, "NA", 0,1)</f>
        <v>18</v>
      </c>
      <c r="C32" t="s">
        <v>603</v>
      </c>
      <c r="D32" t="s">
        <v>511</v>
      </c>
      <c r="E32">
        <v>255</v>
      </c>
      <c r="F32" s="3" t="s">
        <v>1399</v>
      </c>
      <c r="G32">
        <v>112.21</v>
      </c>
      <c r="H32">
        <v>31.5</v>
      </c>
      <c r="I32">
        <v>32</v>
      </c>
      <c r="J32" t="s">
        <v>448</v>
      </c>
      <c r="K32">
        <v>111.16</v>
      </c>
      <c r="L32">
        <v>30.79</v>
      </c>
      <c r="M32" t="s">
        <v>1400</v>
      </c>
      <c r="Q32" t="s">
        <v>98</v>
      </c>
      <c r="S32" t="s">
        <v>1401</v>
      </c>
      <c r="U32" t="s">
        <v>101</v>
      </c>
      <c r="V32" t="s">
        <v>29</v>
      </c>
    </row>
    <row r="33" spans="1:27" x14ac:dyDescent="0.35">
      <c r="A33">
        <v>63</v>
      </c>
      <c r="B33">
        <f>_xlfn.XLOOKUP(C33, csl_deposits!B:B, csl_deposits!A:A, "NA", 0,1)</f>
        <v>24</v>
      </c>
      <c r="C33" t="s">
        <v>627</v>
      </c>
      <c r="D33" t="s">
        <v>511</v>
      </c>
      <c r="E33">
        <v>257</v>
      </c>
      <c r="F33" s="3" t="s">
        <v>1111</v>
      </c>
      <c r="G33">
        <v>-77.64</v>
      </c>
      <c r="H33">
        <v>39.04</v>
      </c>
      <c r="I33">
        <v>334</v>
      </c>
      <c r="J33" t="s">
        <v>1112</v>
      </c>
      <c r="K33">
        <v>-77.64</v>
      </c>
      <c r="L33">
        <v>39.04</v>
      </c>
      <c r="M33" t="s">
        <v>24</v>
      </c>
      <c r="O33" t="s">
        <v>1113</v>
      </c>
      <c r="P33" t="s">
        <v>1404</v>
      </c>
      <c r="Q33" t="s">
        <v>611</v>
      </c>
      <c r="U33" t="s">
        <v>1114</v>
      </c>
      <c r="V33" t="s">
        <v>127</v>
      </c>
      <c r="W33" t="s">
        <v>128</v>
      </c>
    </row>
    <row r="34" spans="1:27" x14ac:dyDescent="0.35">
      <c r="A34">
        <v>64</v>
      </c>
      <c r="B34">
        <f>_xlfn.XLOOKUP(C34, csl_deposits!B:B, csl_deposits!A:A, "NA", 0,1)</f>
        <v>24</v>
      </c>
      <c r="C34" t="s">
        <v>627</v>
      </c>
      <c r="D34" t="s">
        <v>511</v>
      </c>
      <c r="E34">
        <v>258</v>
      </c>
      <c r="F34" s="3" t="s">
        <v>1115</v>
      </c>
      <c r="G34">
        <v>-77.84</v>
      </c>
      <c r="H34">
        <v>38.82</v>
      </c>
      <c r="I34">
        <v>334</v>
      </c>
      <c r="J34" t="s">
        <v>1112</v>
      </c>
      <c r="K34">
        <v>-77.64</v>
      </c>
      <c r="L34">
        <v>39.04</v>
      </c>
      <c r="M34" t="s">
        <v>24</v>
      </c>
      <c r="O34" t="s">
        <v>1113</v>
      </c>
      <c r="P34" t="s">
        <v>1404</v>
      </c>
      <c r="Q34" t="s">
        <v>611</v>
      </c>
      <c r="U34" t="s">
        <v>1114</v>
      </c>
      <c r="V34" t="s">
        <v>127</v>
      </c>
      <c r="W34" t="s">
        <v>128</v>
      </c>
    </row>
    <row r="35" spans="1:27" x14ac:dyDescent="0.35">
      <c r="A35">
        <v>65</v>
      </c>
      <c r="B35">
        <f>_xlfn.XLOOKUP(C35, csl_deposits!B:B, csl_deposits!A:A, "NA", 0,1)</f>
        <v>47</v>
      </c>
      <c r="C35" t="s">
        <v>746</v>
      </c>
      <c r="D35" t="s">
        <v>518</v>
      </c>
      <c r="E35">
        <v>269</v>
      </c>
      <c r="F35" t="s">
        <v>1141</v>
      </c>
      <c r="G35">
        <v>-5.7</v>
      </c>
      <c r="H35">
        <v>55.93</v>
      </c>
      <c r="I35">
        <v>332</v>
      </c>
      <c r="J35" t="s">
        <v>1122</v>
      </c>
      <c r="K35">
        <v>-7.14</v>
      </c>
      <c r="L35">
        <v>55.29</v>
      </c>
      <c r="M35" t="s">
        <v>24</v>
      </c>
      <c r="N35" t="s">
        <v>1123</v>
      </c>
      <c r="O35" t="s">
        <v>1122</v>
      </c>
      <c r="S35" t="s">
        <v>746</v>
      </c>
      <c r="T35" t="s">
        <v>1403</v>
      </c>
      <c r="U35" t="s">
        <v>1125</v>
      </c>
      <c r="V35" t="s">
        <v>212</v>
      </c>
      <c r="W35" t="s">
        <v>1126</v>
      </c>
      <c r="X35" t="s">
        <v>1127</v>
      </c>
      <c r="Y35" t="s">
        <v>1128</v>
      </c>
    </row>
    <row r="36" spans="1:27" x14ac:dyDescent="0.35">
      <c r="A36">
        <v>66</v>
      </c>
      <c r="B36">
        <f>_xlfn.XLOOKUP(C36, csl_deposits!B:B, csl_deposits!A:A, "NA", 0,1)</f>
        <v>35</v>
      </c>
      <c r="C36" t="s">
        <v>685</v>
      </c>
      <c r="D36" t="s">
        <v>518</v>
      </c>
      <c r="E36">
        <v>262</v>
      </c>
      <c r="F36" s="3" t="s">
        <v>1121</v>
      </c>
      <c r="G36">
        <v>-7.14</v>
      </c>
      <c r="H36">
        <v>55.29</v>
      </c>
      <c r="I36">
        <v>332</v>
      </c>
      <c r="J36" t="s">
        <v>1122</v>
      </c>
      <c r="K36">
        <v>-7.14</v>
      </c>
      <c r="L36">
        <v>55.29</v>
      </c>
      <c r="M36" t="s">
        <v>24</v>
      </c>
      <c r="N36" t="s">
        <v>1123</v>
      </c>
      <c r="O36" t="s">
        <v>1122</v>
      </c>
      <c r="S36" t="s">
        <v>685</v>
      </c>
      <c r="T36" t="s">
        <v>1124</v>
      </c>
      <c r="U36" t="s">
        <v>1125</v>
      </c>
      <c r="V36" t="s">
        <v>212</v>
      </c>
      <c r="W36" t="s">
        <v>1126</v>
      </c>
      <c r="X36" t="s">
        <v>1127</v>
      </c>
      <c r="Y36" t="s">
        <v>1128</v>
      </c>
    </row>
    <row r="37" spans="1:27" x14ac:dyDescent="0.35">
      <c r="A37">
        <v>68</v>
      </c>
      <c r="B37">
        <f>_xlfn.XLOOKUP(C37, csl_deposits!B:B, csl_deposits!A:A, "NA", 0,1)</f>
        <v>92</v>
      </c>
      <c r="C37" t="s">
        <v>1475</v>
      </c>
      <c r="D37" t="s">
        <v>518</v>
      </c>
      <c r="E37">
        <v>346</v>
      </c>
      <c r="F37" t="s">
        <v>1535</v>
      </c>
      <c r="G37">
        <v>116.78805555555556</v>
      </c>
      <c r="H37">
        <v>32.647222222222219</v>
      </c>
      <c r="I37">
        <v>348</v>
      </c>
      <c r="J37" t="s">
        <v>1476</v>
      </c>
      <c r="K37">
        <v>116.78805555555556</v>
      </c>
      <c r="L37">
        <v>32.647222222222219</v>
      </c>
      <c r="M37" t="s">
        <v>24</v>
      </c>
      <c r="Q37" t="s">
        <v>1477</v>
      </c>
      <c r="U37" t="s">
        <v>1473</v>
      </c>
      <c r="V37" t="s">
        <v>1481</v>
      </c>
    </row>
    <row r="38" spans="1:27" x14ac:dyDescent="0.35">
      <c r="A38">
        <v>69</v>
      </c>
      <c r="B38">
        <f>_xlfn.XLOOKUP(C38, csl_deposits!B:B, csl_deposits!A:A, "NA", 0,1)</f>
        <v>92</v>
      </c>
      <c r="C38" t="s">
        <v>1475</v>
      </c>
      <c r="D38" t="s">
        <v>518</v>
      </c>
      <c r="E38">
        <v>347</v>
      </c>
      <c r="F38" t="s">
        <v>1536</v>
      </c>
      <c r="G38">
        <v>115.92166666666667</v>
      </c>
      <c r="H38">
        <v>32.271944444444443</v>
      </c>
      <c r="I38">
        <v>348</v>
      </c>
      <c r="J38" t="s">
        <v>1476</v>
      </c>
      <c r="K38">
        <v>116.78805555555556</v>
      </c>
      <c r="L38">
        <v>32.647222222222219</v>
      </c>
      <c r="M38" t="s">
        <v>24</v>
      </c>
      <c r="Q38" t="s">
        <v>1477</v>
      </c>
      <c r="U38" t="s">
        <v>1473</v>
      </c>
    </row>
    <row r="39" spans="1:27" x14ac:dyDescent="0.35">
      <c r="A39">
        <v>70</v>
      </c>
      <c r="B39">
        <f>_xlfn.XLOOKUP(C39, csl_deposits!B:B, csl_deposits!A:A, "NA", 0,1)</f>
        <v>64</v>
      </c>
      <c r="C39" t="s">
        <v>817</v>
      </c>
      <c r="D39" t="s">
        <v>511</v>
      </c>
      <c r="E39">
        <v>353</v>
      </c>
      <c r="F39" t="s">
        <v>337</v>
      </c>
      <c r="G39">
        <v>-55.302906729658503</v>
      </c>
      <c r="H39">
        <v>-34.833299833175701</v>
      </c>
      <c r="I39">
        <v>267</v>
      </c>
      <c r="J39" t="s">
        <v>254</v>
      </c>
      <c r="K39">
        <v>-55.28</v>
      </c>
      <c r="L39">
        <v>-34.880000000000003</v>
      </c>
      <c r="M39" t="s">
        <v>24</v>
      </c>
      <c r="O39" t="s">
        <v>1132</v>
      </c>
      <c r="Q39" t="s">
        <v>337</v>
      </c>
      <c r="R39" t="s">
        <v>1497</v>
      </c>
      <c r="U39" t="s">
        <v>1495</v>
      </c>
    </row>
    <row r="40" spans="1:27" x14ac:dyDescent="0.35">
      <c r="A40">
        <v>74</v>
      </c>
      <c r="B40">
        <f>_xlfn.XLOOKUP(C40, csl_deposits!B:B, csl_deposits!A:A, "NA", 0,1)</f>
        <v>18</v>
      </c>
      <c r="C40" t="s">
        <v>603</v>
      </c>
      <c r="D40" t="s">
        <v>511</v>
      </c>
      <c r="E40">
        <v>101</v>
      </c>
      <c r="F40" s="3" t="s">
        <v>100</v>
      </c>
      <c r="G40">
        <v>111.21</v>
      </c>
      <c r="H40">
        <v>31.29</v>
      </c>
      <c r="I40">
        <v>32</v>
      </c>
      <c r="J40" t="s">
        <v>448</v>
      </c>
      <c r="K40">
        <v>111.16</v>
      </c>
      <c r="L40">
        <v>30.79</v>
      </c>
      <c r="M40" t="s">
        <v>1400</v>
      </c>
      <c r="Q40" t="s">
        <v>98</v>
      </c>
      <c r="S40" t="s">
        <v>1574</v>
      </c>
      <c r="U40" t="s">
        <v>467</v>
      </c>
      <c r="V40" t="s">
        <v>113</v>
      </c>
      <c r="W40" t="s">
        <v>101</v>
      </c>
      <c r="X40" t="s">
        <v>29</v>
      </c>
    </row>
    <row r="41" spans="1:27" x14ac:dyDescent="0.35">
      <c r="A41">
        <v>75</v>
      </c>
      <c r="B41">
        <f>_xlfn.XLOOKUP(C41, csl_deposits!B:B, csl_deposits!A:A, "NA", 0,1)</f>
        <v>40</v>
      </c>
      <c r="C41" t="s">
        <v>714</v>
      </c>
      <c r="D41" t="s">
        <v>511</v>
      </c>
      <c r="E41">
        <v>263</v>
      </c>
      <c r="F41" s="3" t="s">
        <v>1129</v>
      </c>
      <c r="G41">
        <v>58.87</v>
      </c>
      <c r="H41">
        <v>58.51</v>
      </c>
      <c r="I41">
        <v>166</v>
      </c>
      <c r="J41" t="s">
        <v>239</v>
      </c>
      <c r="K41">
        <v>0</v>
      </c>
      <c r="L41">
        <v>0</v>
      </c>
      <c r="M41" t="s">
        <v>24</v>
      </c>
      <c r="O41" t="s">
        <v>246</v>
      </c>
      <c r="Q41" t="s">
        <v>1130</v>
      </c>
      <c r="T41" t="s">
        <v>1575</v>
      </c>
      <c r="U41" t="s">
        <v>1090</v>
      </c>
      <c r="V41" t="s">
        <v>243</v>
      </c>
      <c r="W41" t="s">
        <v>244</v>
      </c>
    </row>
    <row r="42" spans="1:27" x14ac:dyDescent="0.35">
      <c r="A42">
        <v>76</v>
      </c>
      <c r="B42">
        <f>_xlfn.XLOOKUP(C42, csl_deposits!B:B, csl_deposits!A:A, "NA", 0,1)</f>
        <v>73</v>
      </c>
      <c r="C42" t="s">
        <v>855</v>
      </c>
      <c r="D42" t="s">
        <v>511</v>
      </c>
      <c r="E42">
        <v>263</v>
      </c>
      <c r="F42" t="s">
        <v>1129</v>
      </c>
      <c r="G42">
        <v>58.87</v>
      </c>
      <c r="H42">
        <v>58.51</v>
      </c>
      <c r="I42">
        <v>166</v>
      </c>
      <c r="J42" t="s">
        <v>239</v>
      </c>
      <c r="K42">
        <v>0</v>
      </c>
      <c r="L42">
        <v>0</v>
      </c>
      <c r="M42" t="s">
        <v>24</v>
      </c>
      <c r="O42" t="s">
        <v>241</v>
      </c>
      <c r="Q42" t="s">
        <v>1076</v>
      </c>
      <c r="U42" t="s">
        <v>1090</v>
      </c>
      <c r="V42" t="s">
        <v>243</v>
      </c>
      <c r="W42" t="s">
        <v>244</v>
      </c>
    </row>
    <row r="43" spans="1:27" x14ac:dyDescent="0.35">
      <c r="A43">
        <v>77</v>
      </c>
      <c r="B43">
        <f>_xlfn.XLOOKUP(C43, csl_deposits!B:B, csl_deposits!A:A, "NA", 0,1)</f>
        <v>76</v>
      </c>
      <c r="C43" t="s">
        <v>866</v>
      </c>
      <c r="D43" t="s">
        <v>511</v>
      </c>
      <c r="E43">
        <v>263</v>
      </c>
      <c r="F43" t="s">
        <v>1129</v>
      </c>
      <c r="G43">
        <v>58.87</v>
      </c>
      <c r="H43">
        <v>58.51</v>
      </c>
      <c r="I43">
        <v>166</v>
      </c>
      <c r="J43" t="s">
        <v>239</v>
      </c>
      <c r="K43">
        <v>0</v>
      </c>
      <c r="L43">
        <v>0</v>
      </c>
      <c r="M43" t="s">
        <v>24</v>
      </c>
      <c r="O43" t="s">
        <v>246</v>
      </c>
      <c r="Q43" t="s">
        <v>249</v>
      </c>
      <c r="U43" t="s">
        <v>1090</v>
      </c>
      <c r="V43" t="s">
        <v>243</v>
      </c>
      <c r="W43" t="s">
        <v>244</v>
      </c>
    </row>
    <row r="44" spans="1:27" x14ac:dyDescent="0.35">
      <c r="A44">
        <v>78</v>
      </c>
      <c r="B44">
        <f>_xlfn.XLOOKUP(C44, csl_deposits!B:B, csl_deposits!A:A, "NA", 0,1)</f>
        <v>68</v>
      </c>
      <c r="C44" t="s">
        <v>835</v>
      </c>
      <c r="D44" t="s">
        <v>511</v>
      </c>
      <c r="E44">
        <v>167</v>
      </c>
      <c r="F44" s="3" t="s">
        <v>339</v>
      </c>
      <c r="G44">
        <v>-56.513986013985999</v>
      </c>
      <c r="H44">
        <v>-13.801369863013599</v>
      </c>
      <c r="I44">
        <v>313</v>
      </c>
      <c r="J44" t="s">
        <v>462</v>
      </c>
      <c r="K44">
        <v>-56.513986013985999</v>
      </c>
      <c r="L44">
        <v>-13.801369863013599</v>
      </c>
      <c r="M44" t="s">
        <v>24</v>
      </c>
      <c r="Q44" t="s">
        <v>346</v>
      </c>
      <c r="S44" t="s">
        <v>347</v>
      </c>
      <c r="T44" t="s">
        <v>342</v>
      </c>
      <c r="U44" t="s">
        <v>343</v>
      </c>
      <c r="V44" t="s">
        <v>1146</v>
      </c>
      <c r="W44" t="s">
        <v>1147</v>
      </c>
      <c r="X44" t="s">
        <v>1148</v>
      </c>
      <c r="Y44" t="s">
        <v>1149</v>
      </c>
      <c r="Z44" t="s">
        <v>1150</v>
      </c>
      <c r="AA44" t="s">
        <v>345</v>
      </c>
    </row>
    <row r="45" spans="1:27" x14ac:dyDescent="0.35">
      <c r="A45">
        <v>79</v>
      </c>
      <c r="B45">
        <f>_xlfn.XLOOKUP(C45, csl_deposits!B:B, csl_deposits!A:A, "NA", 0,1)</f>
        <v>68</v>
      </c>
      <c r="C45" t="s">
        <v>835</v>
      </c>
      <c r="D45" t="s">
        <v>511</v>
      </c>
      <c r="E45">
        <v>272</v>
      </c>
      <c r="F45" s="3" t="s">
        <v>1145</v>
      </c>
      <c r="G45">
        <v>-55.67</v>
      </c>
      <c r="H45">
        <v>-14.54</v>
      </c>
      <c r="I45">
        <v>313</v>
      </c>
      <c r="J45" t="s">
        <v>462</v>
      </c>
      <c r="K45">
        <v>-56.513986013985999</v>
      </c>
      <c r="L45">
        <v>-13.801369863013599</v>
      </c>
      <c r="M45" t="s">
        <v>24</v>
      </c>
      <c r="Q45" t="s">
        <v>346</v>
      </c>
      <c r="S45" t="s">
        <v>347</v>
      </c>
      <c r="T45" t="s">
        <v>342</v>
      </c>
      <c r="U45" t="s">
        <v>343</v>
      </c>
      <c r="V45" t="s">
        <v>1146</v>
      </c>
      <c r="W45" t="s">
        <v>1147</v>
      </c>
      <c r="X45" t="s">
        <v>1148</v>
      </c>
      <c r="Y45" t="s">
        <v>1149</v>
      </c>
      <c r="Z45" t="s">
        <v>1150</v>
      </c>
      <c r="AA45" t="s">
        <v>345</v>
      </c>
    </row>
    <row r="46" spans="1:27" x14ac:dyDescent="0.35">
      <c r="A46">
        <v>80</v>
      </c>
      <c r="B46">
        <f>_xlfn.XLOOKUP(C46, csl_deposits!B:B, csl_deposits!A:A, "NA", 0,1)</f>
        <v>72</v>
      </c>
      <c r="C46" t="s">
        <v>351</v>
      </c>
      <c r="D46" t="s">
        <v>511</v>
      </c>
      <c r="E46">
        <v>153</v>
      </c>
      <c r="F46" t="s">
        <v>361</v>
      </c>
      <c r="G46">
        <v>-71.079626786237299</v>
      </c>
      <c r="H46">
        <v>42.301702080100299</v>
      </c>
      <c r="I46">
        <v>329</v>
      </c>
      <c r="J46" t="s">
        <v>459</v>
      </c>
      <c r="K46">
        <v>-71.079626786237299</v>
      </c>
      <c r="L46">
        <v>42.301702080100299</v>
      </c>
      <c r="M46" t="s">
        <v>24</v>
      </c>
      <c r="O46" t="s">
        <v>354</v>
      </c>
      <c r="Q46" t="s">
        <v>362</v>
      </c>
      <c r="R46" t="s">
        <v>363</v>
      </c>
      <c r="T46" t="s">
        <v>1153</v>
      </c>
      <c r="U46" t="s">
        <v>357</v>
      </c>
      <c r="V46" t="s">
        <v>1158</v>
      </c>
    </row>
    <row r="47" spans="1:27" x14ac:dyDescent="0.35">
      <c r="A47">
        <v>81</v>
      </c>
      <c r="B47">
        <f>_xlfn.XLOOKUP(C47, csl_deposits!B:B, csl_deposits!A:A, "NA", 0,1)</f>
        <v>72</v>
      </c>
      <c r="C47" t="s">
        <v>351</v>
      </c>
      <c r="D47" t="s">
        <v>511</v>
      </c>
      <c r="E47">
        <v>273</v>
      </c>
      <c r="F47" t="s">
        <v>1151</v>
      </c>
      <c r="G47">
        <v>-71.010000000000005</v>
      </c>
      <c r="H47">
        <v>42.3</v>
      </c>
      <c r="I47">
        <v>358</v>
      </c>
      <c r="J47" t="s">
        <v>1152</v>
      </c>
      <c r="K47">
        <v>-71.010000000000005</v>
      </c>
      <c r="L47">
        <v>42.3</v>
      </c>
      <c r="M47" t="s">
        <v>24</v>
      </c>
      <c r="O47" t="s">
        <v>354</v>
      </c>
      <c r="Q47" t="s">
        <v>362</v>
      </c>
      <c r="R47" t="s">
        <v>363</v>
      </c>
      <c r="T47" t="s">
        <v>1153</v>
      </c>
      <c r="U47" t="s">
        <v>1154</v>
      </c>
      <c r="V47" t="s">
        <v>1155</v>
      </c>
      <c r="W47" t="s">
        <v>1156</v>
      </c>
      <c r="X47" t="s">
        <v>1157</v>
      </c>
      <c r="Y47" t="s">
        <v>357</v>
      </c>
      <c r="Z47" t="s">
        <v>1158</v>
      </c>
      <c r="AA47" t="s">
        <v>1159</v>
      </c>
    </row>
    <row r="48" spans="1:27" x14ac:dyDescent="0.35">
      <c r="A48">
        <v>82</v>
      </c>
      <c r="B48">
        <f>_xlfn.XLOOKUP(C48, csl_deposits!B:B, csl_deposits!A:A, "NA", 0,1)</f>
        <v>85</v>
      </c>
      <c r="C48" t="s">
        <v>900</v>
      </c>
      <c r="D48" t="s">
        <v>511</v>
      </c>
      <c r="E48">
        <v>283</v>
      </c>
      <c r="F48" t="s">
        <v>1174</v>
      </c>
      <c r="G48">
        <v>96.1</v>
      </c>
      <c r="H48">
        <v>41.9</v>
      </c>
      <c r="I48">
        <v>360</v>
      </c>
      <c r="J48" t="s">
        <v>427</v>
      </c>
      <c r="K48">
        <v>96.1</v>
      </c>
      <c r="L48">
        <v>41.9</v>
      </c>
      <c r="M48" t="s">
        <v>24</v>
      </c>
      <c r="Q48" t="s">
        <v>435</v>
      </c>
      <c r="U48" t="s">
        <v>1173</v>
      </c>
      <c r="V48" t="s">
        <v>429</v>
      </c>
    </row>
    <row r="49" spans="1:24" x14ac:dyDescent="0.35">
      <c r="A49">
        <v>83</v>
      </c>
      <c r="B49">
        <f>_xlfn.XLOOKUP(C49, csl_deposits!B:B, csl_deposits!A:A, "NA", 0,1)</f>
        <v>85</v>
      </c>
      <c r="C49" t="s">
        <v>900</v>
      </c>
      <c r="D49" t="s">
        <v>511</v>
      </c>
      <c r="E49">
        <v>281</v>
      </c>
      <c r="F49" t="s">
        <v>437</v>
      </c>
      <c r="G49">
        <v>99.5</v>
      </c>
      <c r="H49">
        <v>41.25</v>
      </c>
      <c r="I49">
        <v>364</v>
      </c>
      <c r="J49" t="s">
        <v>433</v>
      </c>
      <c r="K49">
        <v>99.5</v>
      </c>
      <c r="L49">
        <v>41.25</v>
      </c>
      <c r="M49" t="s">
        <v>24</v>
      </c>
      <c r="Q49" t="s">
        <v>435</v>
      </c>
      <c r="U49" t="s">
        <v>1173</v>
      </c>
      <c r="V49" t="s">
        <v>429</v>
      </c>
    </row>
    <row r="50" spans="1:24" x14ac:dyDescent="0.35">
      <c r="A50">
        <v>84</v>
      </c>
      <c r="B50">
        <f>_xlfn.XLOOKUP(C50, csl_deposits!B:B, csl_deposits!A:A, "NA", 0,1)</f>
        <v>85</v>
      </c>
      <c r="C50" t="s">
        <v>900</v>
      </c>
      <c r="D50" t="s">
        <v>511</v>
      </c>
      <c r="E50">
        <v>282</v>
      </c>
      <c r="F50" t="s">
        <v>432</v>
      </c>
      <c r="G50">
        <v>96</v>
      </c>
      <c r="H50">
        <v>41.5</v>
      </c>
      <c r="I50">
        <v>364</v>
      </c>
      <c r="J50" t="s">
        <v>433</v>
      </c>
      <c r="K50">
        <v>99.5</v>
      </c>
      <c r="L50">
        <v>41.25</v>
      </c>
      <c r="M50" t="s">
        <v>24</v>
      </c>
      <c r="Q50" t="s">
        <v>435</v>
      </c>
      <c r="U50" t="s">
        <v>1173</v>
      </c>
      <c r="V50" t="s">
        <v>429</v>
      </c>
    </row>
    <row r="51" spans="1:24" x14ac:dyDescent="0.35">
      <c r="A51">
        <v>87</v>
      </c>
      <c r="B51">
        <f>_xlfn.XLOOKUP(C51, csl_deposits!B:B, csl_deposits!A:A, "NA", 0,1)</f>
        <v>27</v>
      </c>
      <c r="C51" t="s">
        <v>647</v>
      </c>
      <c r="D51" t="s">
        <v>511</v>
      </c>
      <c r="E51">
        <v>361</v>
      </c>
      <c r="F51" t="s">
        <v>1578</v>
      </c>
      <c r="G51">
        <v>24.356557644520599</v>
      </c>
      <c r="H51">
        <v>52.212442785414602</v>
      </c>
      <c r="I51">
        <v>361</v>
      </c>
      <c r="J51" t="s">
        <v>1578</v>
      </c>
      <c r="K51">
        <v>24.356557644520599</v>
      </c>
      <c r="L51">
        <v>52.212442785414602</v>
      </c>
      <c r="M51" t="s">
        <v>24</v>
      </c>
      <c r="O51" t="s">
        <v>1579</v>
      </c>
      <c r="Q51" t="s">
        <v>1580</v>
      </c>
      <c r="T51" t="s">
        <v>1581</v>
      </c>
      <c r="U51" t="s">
        <v>494</v>
      </c>
      <c r="V51" t="s">
        <v>36</v>
      </c>
      <c r="W51" t="s">
        <v>35</v>
      </c>
    </row>
    <row r="52" spans="1:24" x14ac:dyDescent="0.35">
      <c r="A52">
        <v>88</v>
      </c>
      <c r="B52">
        <f>_xlfn.XLOOKUP(C52, csl_deposits!B:B, csl_deposits!A:A, "NA", 0,1)</f>
        <v>93</v>
      </c>
      <c r="C52" t="s">
        <v>1557</v>
      </c>
      <c r="D52" t="s">
        <v>511</v>
      </c>
      <c r="E52">
        <v>325</v>
      </c>
      <c r="F52" t="s">
        <v>456</v>
      </c>
      <c r="G52">
        <v>-53.578495423021003</v>
      </c>
      <c r="H52">
        <v>48.357597752424802</v>
      </c>
      <c r="I52">
        <v>325</v>
      </c>
      <c r="J52" t="s">
        <v>456</v>
      </c>
      <c r="K52">
        <v>-53.578495423021003</v>
      </c>
      <c r="L52">
        <v>48.357597752424802</v>
      </c>
      <c r="M52" t="s">
        <v>24</v>
      </c>
      <c r="O52" t="s">
        <v>407</v>
      </c>
      <c r="Q52" t="s">
        <v>408</v>
      </c>
      <c r="S52" t="s">
        <v>1528</v>
      </c>
      <c r="U52" t="s">
        <v>1548</v>
      </c>
      <c r="V52" t="s">
        <v>1549</v>
      </c>
    </row>
    <row r="53" spans="1:24" x14ac:dyDescent="0.35">
      <c r="A53">
        <v>89</v>
      </c>
      <c r="B53">
        <f>_xlfn.XLOOKUP(C53, csl_deposits!B:B, csl_deposits!A:A, "NA", 0,1)</f>
        <v>89</v>
      </c>
      <c r="C53" t="s">
        <v>915</v>
      </c>
      <c r="D53" t="s">
        <v>511</v>
      </c>
      <c r="E53">
        <v>337</v>
      </c>
      <c r="F53" t="s">
        <v>171</v>
      </c>
      <c r="G53">
        <v>23.338792482180001</v>
      </c>
      <c r="H53">
        <v>51.607847863362203</v>
      </c>
      <c r="I53">
        <v>341</v>
      </c>
      <c r="J53" t="s">
        <v>1405</v>
      </c>
      <c r="K53">
        <v>26.870335009851701</v>
      </c>
      <c r="L53">
        <v>50.203899252219898</v>
      </c>
      <c r="M53" t="s">
        <v>24</v>
      </c>
      <c r="O53" t="s">
        <v>1582</v>
      </c>
      <c r="Q53" t="s">
        <v>1583</v>
      </c>
      <c r="U53" t="s">
        <v>36</v>
      </c>
      <c r="V53" t="s">
        <v>35</v>
      </c>
      <c r="W53" t="s">
        <v>37</v>
      </c>
    </row>
    <row r="54" spans="1:24" x14ac:dyDescent="0.35">
      <c r="A54">
        <v>90</v>
      </c>
      <c r="B54">
        <f>_xlfn.XLOOKUP(C54, csl_deposits!B:B, csl_deposits!A:A, "NA", 0,1)</f>
        <v>36</v>
      </c>
      <c r="C54" t="s">
        <v>693</v>
      </c>
      <c r="D54" t="s">
        <v>511</v>
      </c>
      <c r="E54">
        <v>362</v>
      </c>
      <c r="F54" t="s">
        <v>1585</v>
      </c>
      <c r="G54">
        <v>-48.666699999999999</v>
      </c>
      <c r="H54">
        <v>-24.583300000000001</v>
      </c>
      <c r="I54">
        <v>362</v>
      </c>
      <c r="J54" t="s">
        <v>1585</v>
      </c>
      <c r="K54">
        <v>-48.666699999999999</v>
      </c>
      <c r="L54">
        <v>-24.583300000000001</v>
      </c>
      <c r="M54" t="s">
        <v>24</v>
      </c>
      <c r="N54" t="s">
        <v>1586</v>
      </c>
      <c r="O54" t="s">
        <v>215</v>
      </c>
      <c r="P54" t="s">
        <v>216</v>
      </c>
      <c r="Q54" t="s">
        <v>220</v>
      </c>
      <c r="U54" t="s">
        <v>218</v>
      </c>
    </row>
    <row r="55" spans="1:24" x14ac:dyDescent="0.35">
      <c r="A55">
        <v>91</v>
      </c>
      <c r="B55">
        <f>_xlfn.XLOOKUP(C55, csl_deposits!B:B, csl_deposits!A:A, "NA", 0,1)</f>
        <v>75</v>
      </c>
      <c r="C55" t="s">
        <v>863</v>
      </c>
      <c r="D55" t="s">
        <v>518</v>
      </c>
      <c r="E55">
        <v>274</v>
      </c>
      <c r="F55" t="s">
        <v>1160</v>
      </c>
      <c r="G55">
        <v>80.97</v>
      </c>
      <c r="H55">
        <v>44.34</v>
      </c>
      <c r="I55">
        <v>363</v>
      </c>
      <c r="J55" t="s">
        <v>368</v>
      </c>
      <c r="K55">
        <v>80.97</v>
      </c>
      <c r="L55">
        <v>44.34</v>
      </c>
      <c r="M55" t="s">
        <v>24</v>
      </c>
      <c r="O55" t="s">
        <v>1161</v>
      </c>
      <c r="Q55" t="s">
        <v>369</v>
      </c>
      <c r="T55" t="s">
        <v>1162</v>
      </c>
      <c r="U55" t="s">
        <v>1163</v>
      </c>
      <c r="V55" t="s">
        <v>1164</v>
      </c>
      <c r="W55" t="s">
        <v>1165</v>
      </c>
      <c r="X55" t="s">
        <v>371</v>
      </c>
    </row>
    <row r="56" spans="1:24" x14ac:dyDescent="0.35">
      <c r="A56">
        <v>92</v>
      </c>
      <c r="B56">
        <f>_xlfn.XLOOKUP(C56, csl_deposits!B:B, csl_deposits!A:A, "NA", 0,1)</f>
        <v>18</v>
      </c>
      <c r="C56" t="s">
        <v>603</v>
      </c>
      <c r="D56" t="s">
        <v>511</v>
      </c>
      <c r="E56">
        <v>87</v>
      </c>
      <c r="F56" s="3" t="s">
        <v>103</v>
      </c>
      <c r="G56">
        <v>111.05516944</v>
      </c>
      <c r="H56">
        <v>30.804180559999999</v>
      </c>
      <c r="I56">
        <v>32</v>
      </c>
      <c r="J56" t="s">
        <v>448</v>
      </c>
      <c r="K56">
        <v>111.16</v>
      </c>
      <c r="L56">
        <v>30.79</v>
      </c>
      <c r="M56" t="s">
        <v>1400</v>
      </c>
      <c r="Q56" t="s">
        <v>98</v>
      </c>
      <c r="U56" t="s">
        <v>101</v>
      </c>
      <c r="V56" t="s">
        <v>29</v>
      </c>
    </row>
    <row r="57" spans="1:24" x14ac:dyDescent="0.35">
      <c r="A57">
        <v>111</v>
      </c>
      <c r="B57">
        <f>_xlfn.XLOOKUP(C57, [1]csl_deposits!B:B, [1]csl_deposits!A:A, "NA", 0,1)</f>
        <v>20</v>
      </c>
      <c r="C57" t="s">
        <v>606</v>
      </c>
      <c r="D57" t="s">
        <v>518</v>
      </c>
      <c r="E57">
        <v>367</v>
      </c>
      <c r="F57" t="s">
        <v>1668</v>
      </c>
      <c r="G57">
        <v>126.7</v>
      </c>
      <c r="H57">
        <v>-18.7</v>
      </c>
      <c r="I57">
        <v>367</v>
      </c>
      <c r="J57" t="s">
        <v>1668</v>
      </c>
      <c r="K57">
        <v>126.7</v>
      </c>
      <c r="L57">
        <v>-18.7</v>
      </c>
      <c r="M57" t="s">
        <v>24</v>
      </c>
      <c r="O57" t="s">
        <v>1669</v>
      </c>
      <c r="Q57" t="s">
        <v>610</v>
      </c>
      <c r="U57" t="s">
        <v>1666</v>
      </c>
    </row>
    <row r="58" spans="1:24" x14ac:dyDescent="0.35">
      <c r="A58">
        <v>112</v>
      </c>
      <c r="B58">
        <f>_xlfn.XLOOKUP(C58, [1]csl_deposits!B:B, [1]csl_deposits!A:A, "NA", 0,1)</f>
        <v>22</v>
      </c>
      <c r="C58" t="s">
        <v>618</v>
      </c>
      <c r="D58" t="s">
        <v>518</v>
      </c>
      <c r="E58">
        <v>368</v>
      </c>
      <c r="F58" t="s">
        <v>1670</v>
      </c>
      <c r="G58">
        <v>56</v>
      </c>
      <c r="H58">
        <v>32</v>
      </c>
      <c r="I58">
        <v>368</v>
      </c>
      <c r="J58" t="s">
        <v>1670</v>
      </c>
      <c r="K58">
        <v>56</v>
      </c>
      <c r="L58">
        <v>32</v>
      </c>
      <c r="M58" t="s">
        <v>24</v>
      </c>
      <c r="Q58" t="s">
        <v>1239</v>
      </c>
      <c r="U58" t="s">
        <v>1240</v>
      </c>
    </row>
    <row r="59" spans="1:24" x14ac:dyDescent="0.35">
      <c r="A59">
        <v>113</v>
      </c>
      <c r="B59">
        <f>_xlfn.XLOOKUP(C59, [1]csl_deposits!B:B, [1]csl_deposits!A:A, "NA", 0,1)</f>
        <v>66</v>
      </c>
      <c r="C59" t="s">
        <v>826</v>
      </c>
      <c r="D59" t="s">
        <v>518</v>
      </c>
      <c r="E59">
        <v>369</v>
      </c>
      <c r="F59" t="s">
        <v>1671</v>
      </c>
      <c r="G59">
        <v>69</v>
      </c>
      <c r="H59">
        <v>44</v>
      </c>
      <c r="I59">
        <v>369</v>
      </c>
      <c r="J59" t="s">
        <v>1671</v>
      </c>
      <c r="K59">
        <v>69</v>
      </c>
      <c r="L59">
        <v>44</v>
      </c>
      <c r="M59" t="s">
        <v>24</v>
      </c>
      <c r="O59" t="s">
        <v>1673</v>
      </c>
      <c r="Q59" t="s">
        <v>1674</v>
      </c>
      <c r="U59" t="s">
        <v>22</v>
      </c>
    </row>
    <row r="60" spans="1:24" x14ac:dyDescent="0.35">
      <c r="A60">
        <v>114</v>
      </c>
      <c r="B60">
        <f>_xlfn.XLOOKUP(C60, [1]csl_deposits!B:B, [1]csl_deposits!A:A, "NA", 0,1)</f>
        <v>37</v>
      </c>
      <c r="C60" t="s">
        <v>698</v>
      </c>
      <c r="D60" t="s">
        <v>518</v>
      </c>
      <c r="E60">
        <v>369</v>
      </c>
      <c r="F60" t="s">
        <v>1672</v>
      </c>
      <c r="G60">
        <v>69</v>
      </c>
      <c r="H60">
        <v>44</v>
      </c>
      <c r="I60">
        <v>369</v>
      </c>
      <c r="J60" t="s">
        <v>1672</v>
      </c>
      <c r="K60">
        <v>69</v>
      </c>
      <c r="L60">
        <v>44</v>
      </c>
      <c r="M60" t="s">
        <v>24</v>
      </c>
      <c r="O60" t="s">
        <v>1675</v>
      </c>
      <c r="Q60" t="s">
        <v>1676</v>
      </c>
      <c r="S60" t="s">
        <v>698</v>
      </c>
      <c r="U60" t="s">
        <v>22</v>
      </c>
    </row>
  </sheetData>
  <autoFilter ref="A1:AB56" xr:uid="{443DAF6F-187D-4539-BB4B-486AB5925EFB}">
    <sortState xmlns:xlrd2="http://schemas.microsoft.com/office/spreadsheetml/2017/richdata2" ref="A2:AB56">
      <sortCondition ref="A1:A56"/>
    </sortState>
  </autoFilter>
  <phoneticPr fontId="2" type="noConversion"/>
  <conditionalFormatting sqref="A1:XFD1048576">
    <cfRule type="containsBlanks" dxfId="2" priority="5">
      <formula>LEN(TRIM(A1))=0</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75E92-0EB8-466D-9C4C-61C8E273062A}">
  <dimension ref="A1:AV92"/>
  <sheetViews>
    <sheetView zoomScale="70" zoomScaleNormal="70" workbookViewId="0">
      <pane xSplit="2" ySplit="1" topLeftCell="C2" activePane="bottomRight" state="frozen"/>
      <selection pane="topRight" activeCell="C1" sqref="C1"/>
      <selection pane="bottomLeft" activeCell="A2" sqref="A2"/>
      <selection pane="bottomRight"/>
    </sheetView>
  </sheetViews>
  <sheetFormatPr defaultColWidth="25.08984375" defaultRowHeight="14.5" x14ac:dyDescent="0.35"/>
  <cols>
    <col min="1" max="1" width="12.26953125" bestFit="1" customWidth="1"/>
    <col min="2" max="2" width="28.08984375" bestFit="1" customWidth="1"/>
    <col min="3" max="3" width="36.08984375" customWidth="1"/>
    <col min="4" max="4" width="14.453125" bestFit="1" customWidth="1"/>
    <col min="5" max="5" width="16.6328125" bestFit="1" customWidth="1"/>
    <col min="6" max="7" width="16.6328125" style="20" customWidth="1"/>
    <col min="8" max="8" width="15.54296875" bestFit="1" customWidth="1"/>
    <col min="9" max="9" width="33.1796875" customWidth="1"/>
    <col min="10" max="10" width="22.36328125" bestFit="1" customWidth="1"/>
    <col min="11" max="11" width="28.90625" bestFit="1" customWidth="1"/>
    <col min="12" max="12" width="22.36328125" bestFit="1" customWidth="1"/>
    <col min="13" max="13" width="28.90625" bestFit="1" customWidth="1"/>
    <col min="14" max="14" width="26.453125" bestFit="1" customWidth="1"/>
  </cols>
  <sheetData>
    <row r="1" spans="1:48" x14ac:dyDescent="0.35">
      <c r="A1" s="1" t="s">
        <v>929</v>
      </c>
      <c r="B1" s="1" t="s">
        <v>927</v>
      </c>
      <c r="C1" s="1" t="s">
        <v>943</v>
      </c>
      <c r="D1" s="1" t="s">
        <v>944</v>
      </c>
      <c r="E1" s="1" t="s">
        <v>945</v>
      </c>
      <c r="F1" s="21" t="s">
        <v>1664</v>
      </c>
      <c r="G1" s="21" t="s">
        <v>1665</v>
      </c>
      <c r="H1" s="1" t="s">
        <v>946</v>
      </c>
      <c r="I1" s="1" t="s">
        <v>947</v>
      </c>
      <c r="J1" s="1" t="s">
        <v>1412</v>
      </c>
      <c r="K1" s="1" t="s">
        <v>1430</v>
      </c>
      <c r="L1" s="1" t="s">
        <v>1411</v>
      </c>
      <c r="M1" s="1" t="s">
        <v>1423</v>
      </c>
      <c r="N1" s="1" t="s">
        <v>1410</v>
      </c>
      <c r="O1" s="1" t="s">
        <v>1424</v>
      </c>
      <c r="P1" s="1" t="s">
        <v>948</v>
      </c>
      <c r="Q1" s="1" t="s">
        <v>949</v>
      </c>
      <c r="R1" s="22" t="s">
        <v>950</v>
      </c>
      <c r="S1" s="22" t="s">
        <v>951</v>
      </c>
      <c r="T1" s="22" t="s">
        <v>952</v>
      </c>
      <c r="U1" s="22" t="s">
        <v>953</v>
      </c>
      <c r="V1" s="1" t="s">
        <v>954</v>
      </c>
      <c r="W1" s="1" t="s">
        <v>955</v>
      </c>
      <c r="X1" s="1" t="s">
        <v>956</v>
      </c>
      <c r="Y1" s="1" t="s">
        <v>957</v>
      </c>
      <c r="Z1" s="1" t="s">
        <v>958</v>
      </c>
      <c r="AA1" s="1" t="s">
        <v>959</v>
      </c>
      <c r="AB1" s="1" t="s">
        <v>960</v>
      </c>
      <c r="AC1" s="1" t="s">
        <v>961</v>
      </c>
      <c r="AD1" s="1" t="s">
        <v>962</v>
      </c>
      <c r="AE1" s="1" t="s">
        <v>963</v>
      </c>
      <c r="AF1" s="1" t="s">
        <v>964</v>
      </c>
      <c r="AG1" s="1" t="s">
        <v>965</v>
      </c>
      <c r="AH1" s="1" t="s">
        <v>966</v>
      </c>
      <c r="AI1" s="1" t="s">
        <v>967</v>
      </c>
      <c r="AJ1" s="1" t="s">
        <v>968</v>
      </c>
      <c r="AK1" s="1" t="s">
        <v>969</v>
      </c>
      <c r="AL1" s="1" t="s">
        <v>970</v>
      </c>
      <c r="AM1" s="1" t="s">
        <v>971</v>
      </c>
      <c r="AN1" s="1" t="s">
        <v>972</v>
      </c>
      <c r="AO1" s="1" t="s">
        <v>973</v>
      </c>
      <c r="AP1" s="1" t="s">
        <v>974</v>
      </c>
      <c r="AQ1" s="1" t="s">
        <v>975</v>
      </c>
      <c r="AR1" s="1" t="s">
        <v>976</v>
      </c>
      <c r="AS1" s="1" t="s">
        <v>977</v>
      </c>
      <c r="AT1" s="1" t="s">
        <v>978</v>
      </c>
      <c r="AU1" s="1" t="s">
        <v>979</v>
      </c>
      <c r="AV1" s="1" t="s">
        <v>980</v>
      </c>
    </row>
    <row r="2" spans="1:48" x14ac:dyDescent="0.35">
      <c r="A2">
        <v>8</v>
      </c>
      <c r="B2" t="s">
        <v>553</v>
      </c>
      <c r="C2" t="s">
        <v>554</v>
      </c>
      <c r="D2" s="8" t="s">
        <v>924</v>
      </c>
      <c r="E2" s="8" t="s">
        <v>453</v>
      </c>
      <c r="F2" s="19"/>
      <c r="G2" s="19"/>
      <c r="H2" t="s">
        <v>555</v>
      </c>
      <c r="I2" t="s">
        <v>1533</v>
      </c>
      <c r="J2" s="9">
        <v>1</v>
      </c>
      <c r="K2" s="8" t="s">
        <v>164</v>
      </c>
      <c r="L2" s="9">
        <v>1</v>
      </c>
      <c r="M2" s="8" t="s">
        <v>164</v>
      </c>
      <c r="N2" s="9">
        <v>1</v>
      </c>
      <c r="O2" s="10"/>
      <c r="P2" s="8" t="s">
        <v>512</v>
      </c>
      <c r="Q2" s="8" t="s">
        <v>556</v>
      </c>
      <c r="R2" s="11"/>
      <c r="S2" s="11"/>
      <c r="T2" s="11">
        <v>485.4</v>
      </c>
      <c r="U2" s="11">
        <v>1.9</v>
      </c>
      <c r="V2" s="10" t="s">
        <v>557</v>
      </c>
      <c r="W2" s="10"/>
      <c r="X2" t="s">
        <v>515</v>
      </c>
      <c r="AC2" t="s">
        <v>512</v>
      </c>
      <c r="AD2" t="s">
        <v>521</v>
      </c>
      <c r="AE2">
        <v>555</v>
      </c>
      <c r="AF2">
        <v>549</v>
      </c>
      <c r="AG2" t="s">
        <v>522</v>
      </c>
      <c r="AH2" t="s">
        <v>515</v>
      </c>
      <c r="AP2" t="s">
        <v>512</v>
      </c>
      <c r="AQ2">
        <v>37</v>
      </c>
      <c r="AR2" t="s">
        <v>558</v>
      </c>
      <c r="AS2" t="s">
        <v>521</v>
      </c>
      <c r="AT2">
        <v>562</v>
      </c>
      <c r="AU2">
        <v>551</v>
      </c>
    </row>
    <row r="3" spans="1:48" x14ac:dyDescent="0.35">
      <c r="A3">
        <v>29</v>
      </c>
      <c r="B3" t="s">
        <v>653</v>
      </c>
      <c r="C3" t="s">
        <v>654</v>
      </c>
      <c r="D3" s="8" t="s">
        <v>924</v>
      </c>
      <c r="E3" s="8" t="s">
        <v>446</v>
      </c>
      <c r="F3" s="19"/>
      <c r="G3" s="19"/>
      <c r="H3" t="s">
        <v>555</v>
      </c>
      <c r="I3" t="s">
        <v>655</v>
      </c>
      <c r="J3" s="4">
        <v>2</v>
      </c>
      <c r="K3" s="8" t="s">
        <v>1433</v>
      </c>
      <c r="L3" s="4">
        <v>3</v>
      </c>
      <c r="M3" s="8" t="s">
        <v>164</v>
      </c>
      <c r="N3" s="4">
        <v>3</v>
      </c>
      <c r="O3" s="10"/>
      <c r="P3" t="s">
        <v>512</v>
      </c>
      <c r="Q3" t="s">
        <v>656</v>
      </c>
      <c r="R3" s="5">
        <v>619</v>
      </c>
      <c r="S3" s="5">
        <v>6</v>
      </c>
      <c r="T3" s="5">
        <v>501</v>
      </c>
      <c r="U3" s="5">
        <v>10</v>
      </c>
      <c r="V3" t="s">
        <v>657</v>
      </c>
      <c r="W3" s="10"/>
      <c r="X3" t="s">
        <v>515</v>
      </c>
      <c r="AC3" t="s">
        <v>515</v>
      </c>
      <c r="AH3" t="s">
        <v>512</v>
      </c>
      <c r="AI3">
        <v>9</v>
      </c>
      <c r="AJ3">
        <v>595</v>
      </c>
      <c r="AK3">
        <v>12</v>
      </c>
      <c r="AL3">
        <v>555</v>
      </c>
      <c r="AM3">
        <v>5</v>
      </c>
      <c r="AN3" t="s">
        <v>523</v>
      </c>
      <c r="AO3" t="s">
        <v>658</v>
      </c>
      <c r="AP3" t="s">
        <v>512</v>
      </c>
      <c r="AQ3">
        <v>40</v>
      </c>
      <c r="AR3" t="s">
        <v>525</v>
      </c>
      <c r="AS3" t="s">
        <v>562</v>
      </c>
      <c r="AT3">
        <v>581</v>
      </c>
      <c r="AU3">
        <v>579</v>
      </c>
      <c r="AV3" t="s">
        <v>659</v>
      </c>
    </row>
    <row r="4" spans="1:48" x14ac:dyDescent="0.35">
      <c r="A4">
        <v>35</v>
      </c>
      <c r="B4" t="s">
        <v>685</v>
      </c>
      <c r="C4" t="s">
        <v>686</v>
      </c>
      <c r="D4" s="8" t="s">
        <v>924</v>
      </c>
      <c r="E4" s="8" t="s">
        <v>453</v>
      </c>
      <c r="F4" s="19">
        <v>-7.14</v>
      </c>
      <c r="G4" s="19">
        <v>55.29</v>
      </c>
      <c r="H4" t="s">
        <v>555</v>
      </c>
      <c r="I4" t="s">
        <v>688</v>
      </c>
      <c r="J4" s="4">
        <v>3</v>
      </c>
      <c r="K4" t="s">
        <v>1433</v>
      </c>
      <c r="L4" s="4">
        <v>0</v>
      </c>
      <c r="M4" t="s">
        <v>687</v>
      </c>
      <c r="N4" s="4">
        <v>0</v>
      </c>
      <c r="O4" t="s">
        <v>687</v>
      </c>
      <c r="P4" t="s">
        <v>512</v>
      </c>
      <c r="Q4" t="s">
        <v>689</v>
      </c>
      <c r="R4" s="5"/>
      <c r="S4" s="5"/>
      <c r="T4" s="5"/>
      <c r="U4" s="5"/>
      <c r="V4" t="s">
        <v>690</v>
      </c>
      <c r="W4" s="10"/>
      <c r="X4" t="s">
        <v>515</v>
      </c>
      <c r="AC4" t="s">
        <v>515</v>
      </c>
      <c r="AH4" t="s">
        <v>512</v>
      </c>
      <c r="AI4">
        <v>22</v>
      </c>
      <c r="AJ4">
        <v>590</v>
      </c>
      <c r="AL4">
        <v>570</v>
      </c>
      <c r="AN4" t="s">
        <v>523</v>
      </c>
      <c r="AO4" t="s">
        <v>691</v>
      </c>
      <c r="AP4" t="s">
        <v>512</v>
      </c>
      <c r="AQ4">
        <v>42</v>
      </c>
      <c r="AR4" t="s">
        <v>538</v>
      </c>
      <c r="AS4" t="s">
        <v>562</v>
      </c>
      <c r="AT4">
        <v>581</v>
      </c>
      <c r="AU4">
        <v>579</v>
      </c>
      <c r="AV4" t="s">
        <v>692</v>
      </c>
    </row>
    <row r="5" spans="1:48" x14ac:dyDescent="0.35">
      <c r="A5">
        <v>47</v>
      </c>
      <c r="B5" t="s">
        <v>746</v>
      </c>
      <c r="C5" t="s">
        <v>747</v>
      </c>
      <c r="D5" s="8" t="s">
        <v>924</v>
      </c>
      <c r="E5" s="8" t="s">
        <v>453</v>
      </c>
      <c r="F5" s="19">
        <v>-5.7</v>
      </c>
      <c r="G5" s="19">
        <v>55.93</v>
      </c>
      <c r="H5" s="8" t="s">
        <v>555</v>
      </c>
      <c r="I5" s="8" t="s">
        <v>748</v>
      </c>
      <c r="J5" s="4">
        <v>2</v>
      </c>
      <c r="K5" s="8" t="s">
        <v>1433</v>
      </c>
      <c r="L5" s="4">
        <v>2</v>
      </c>
      <c r="M5" s="8" t="s">
        <v>164</v>
      </c>
      <c r="N5" s="4">
        <v>2</v>
      </c>
      <c r="O5" s="10"/>
      <c r="P5" t="s">
        <v>512</v>
      </c>
      <c r="Q5" t="s">
        <v>749</v>
      </c>
      <c r="R5" s="5">
        <v>601</v>
      </c>
      <c r="S5" s="5">
        <v>4</v>
      </c>
      <c r="T5" s="5">
        <v>485.4</v>
      </c>
      <c r="U5" s="5">
        <v>1.9</v>
      </c>
      <c r="V5" t="s">
        <v>750</v>
      </c>
      <c r="W5" s="10"/>
      <c r="X5" t="s">
        <v>512</v>
      </c>
      <c r="Y5" t="s">
        <v>751</v>
      </c>
      <c r="Z5">
        <v>595</v>
      </c>
      <c r="AB5" t="s">
        <v>752</v>
      </c>
      <c r="AC5" t="s">
        <v>515</v>
      </c>
      <c r="AH5" t="s">
        <v>512</v>
      </c>
      <c r="AI5">
        <v>22</v>
      </c>
      <c r="AJ5">
        <v>590</v>
      </c>
      <c r="AL5">
        <v>570</v>
      </c>
      <c r="AN5" t="s">
        <v>523</v>
      </c>
      <c r="AO5" t="s">
        <v>691</v>
      </c>
      <c r="AP5" t="s">
        <v>512</v>
      </c>
      <c r="AQ5">
        <v>42</v>
      </c>
      <c r="AR5" t="s">
        <v>538</v>
      </c>
      <c r="AS5" t="s">
        <v>562</v>
      </c>
      <c r="AT5">
        <v>581</v>
      </c>
      <c r="AU5">
        <v>579</v>
      </c>
      <c r="AV5" t="s">
        <v>692</v>
      </c>
    </row>
    <row r="6" spans="1:48" x14ac:dyDescent="0.35">
      <c r="A6">
        <v>57</v>
      </c>
      <c r="B6" s="8" t="s">
        <v>788</v>
      </c>
      <c r="C6" s="8"/>
      <c r="D6" s="8" t="s">
        <v>924</v>
      </c>
      <c r="E6" s="8" t="s">
        <v>453</v>
      </c>
      <c r="F6" s="19"/>
      <c r="G6" s="19"/>
      <c r="H6" s="8" t="s">
        <v>555</v>
      </c>
      <c r="I6" s="8" t="s">
        <v>789</v>
      </c>
      <c r="J6" s="9">
        <v>3</v>
      </c>
      <c r="K6" s="8" t="s">
        <v>164</v>
      </c>
      <c r="L6" s="9">
        <v>3</v>
      </c>
      <c r="M6" s="8" t="s">
        <v>164</v>
      </c>
      <c r="N6" s="9">
        <v>3</v>
      </c>
      <c r="O6" s="10"/>
      <c r="P6" s="8" t="s">
        <v>512</v>
      </c>
      <c r="Q6" s="8" t="s">
        <v>790</v>
      </c>
      <c r="R6" s="11"/>
      <c r="S6" s="11"/>
      <c r="T6" s="11">
        <v>509</v>
      </c>
      <c r="U6" s="11">
        <v>5</v>
      </c>
      <c r="V6" s="10" t="s">
        <v>791</v>
      </c>
      <c r="W6" s="10"/>
      <c r="X6" s="8" t="s">
        <v>515</v>
      </c>
      <c r="Y6" s="8"/>
      <c r="Z6" s="8"/>
      <c r="AA6" s="8"/>
      <c r="AB6" s="8"/>
      <c r="AC6" s="8" t="s">
        <v>515</v>
      </c>
      <c r="AD6" s="12"/>
      <c r="AE6" s="12"/>
      <c r="AF6" s="12"/>
      <c r="AG6" s="12"/>
      <c r="AH6" t="s">
        <v>515</v>
      </c>
      <c r="AP6" t="s">
        <v>515</v>
      </c>
    </row>
    <row r="7" spans="1:48" x14ac:dyDescent="0.35">
      <c r="A7">
        <v>65</v>
      </c>
      <c r="B7" t="s">
        <v>821</v>
      </c>
      <c r="D7" s="8" t="s">
        <v>924</v>
      </c>
      <c r="E7" s="8" t="s">
        <v>460</v>
      </c>
      <c r="F7" s="19"/>
      <c r="G7" s="19"/>
      <c r="H7" t="s">
        <v>555</v>
      </c>
      <c r="I7" t="s">
        <v>1439</v>
      </c>
      <c r="J7" s="9">
        <v>4</v>
      </c>
      <c r="K7" s="10" t="s">
        <v>164</v>
      </c>
      <c r="L7" s="9">
        <v>4</v>
      </c>
      <c r="M7" s="10" t="s">
        <v>1426</v>
      </c>
      <c r="N7" s="9">
        <v>4</v>
      </c>
      <c r="O7" s="10" t="s">
        <v>1425</v>
      </c>
      <c r="P7" s="8" t="s">
        <v>512</v>
      </c>
      <c r="Q7" s="8" t="s">
        <v>823</v>
      </c>
      <c r="R7" s="11">
        <v>560</v>
      </c>
      <c r="S7" s="11">
        <v>10</v>
      </c>
      <c r="T7" s="11">
        <v>530</v>
      </c>
      <c r="U7" s="11">
        <v>7</v>
      </c>
      <c r="V7" s="10" t="s">
        <v>824</v>
      </c>
      <c r="W7" s="10"/>
      <c r="X7" t="s">
        <v>515</v>
      </c>
      <c r="AC7" t="s">
        <v>515</v>
      </c>
      <c r="AH7" t="s">
        <v>512</v>
      </c>
      <c r="AI7">
        <v>31</v>
      </c>
      <c r="AJ7">
        <v>560</v>
      </c>
      <c r="AK7">
        <v>10</v>
      </c>
      <c r="AL7">
        <v>530</v>
      </c>
      <c r="AN7" t="s">
        <v>523</v>
      </c>
      <c r="AO7" t="s">
        <v>825</v>
      </c>
      <c r="AP7" t="s">
        <v>512</v>
      </c>
      <c r="AQ7">
        <v>32</v>
      </c>
      <c r="AR7" t="s">
        <v>640</v>
      </c>
      <c r="AS7" t="s">
        <v>521</v>
      </c>
      <c r="AT7">
        <v>562</v>
      </c>
      <c r="AU7">
        <v>551</v>
      </c>
      <c r="AV7" t="s">
        <v>641</v>
      </c>
    </row>
    <row r="8" spans="1:48" x14ac:dyDescent="0.35">
      <c r="A8">
        <v>69</v>
      </c>
      <c r="B8" t="s">
        <v>842</v>
      </c>
      <c r="C8" s="8" t="s">
        <v>843</v>
      </c>
      <c r="D8" s="8" t="s">
        <v>924</v>
      </c>
      <c r="E8" s="8" t="s">
        <v>755</v>
      </c>
      <c r="F8" s="19"/>
      <c r="G8" s="19"/>
      <c r="H8" s="8" t="s">
        <v>555</v>
      </c>
      <c r="I8" s="8" t="s">
        <v>844</v>
      </c>
      <c r="J8" s="9">
        <v>0</v>
      </c>
      <c r="K8" s="10" t="s">
        <v>164</v>
      </c>
      <c r="L8" s="9">
        <v>0</v>
      </c>
      <c r="M8" s="10" t="s">
        <v>687</v>
      </c>
      <c r="N8" s="9">
        <v>0</v>
      </c>
      <c r="O8" s="10"/>
      <c r="P8" s="8" t="s">
        <v>512</v>
      </c>
      <c r="Q8" s="8" t="s">
        <v>845</v>
      </c>
      <c r="R8" s="11"/>
      <c r="S8" s="11"/>
      <c r="T8" s="11">
        <v>593</v>
      </c>
      <c r="U8" s="11">
        <v>39</v>
      </c>
      <c r="V8" s="10" t="s">
        <v>690</v>
      </c>
      <c r="W8" s="10"/>
      <c r="X8" t="s">
        <v>515</v>
      </c>
      <c r="AC8" t="s">
        <v>515</v>
      </c>
      <c r="AH8" t="s">
        <v>515</v>
      </c>
      <c r="AP8" t="s">
        <v>512</v>
      </c>
      <c r="AQ8">
        <v>15</v>
      </c>
      <c r="AR8" t="s">
        <v>538</v>
      </c>
      <c r="AS8" t="s">
        <v>555</v>
      </c>
      <c r="AV8" t="s">
        <v>581</v>
      </c>
    </row>
    <row r="9" spans="1:48" x14ac:dyDescent="0.35">
      <c r="A9">
        <v>81</v>
      </c>
      <c r="B9" t="s">
        <v>884</v>
      </c>
      <c r="C9" t="s">
        <v>885</v>
      </c>
      <c r="D9" s="8" t="s">
        <v>924</v>
      </c>
      <c r="E9" s="8" t="s">
        <v>468</v>
      </c>
      <c r="F9" s="19"/>
      <c r="G9" s="19"/>
      <c r="H9" t="s">
        <v>555</v>
      </c>
      <c r="I9" t="s">
        <v>1527</v>
      </c>
      <c r="J9" s="9">
        <v>3</v>
      </c>
      <c r="K9" s="8" t="s">
        <v>1573</v>
      </c>
      <c r="L9" s="9">
        <v>3</v>
      </c>
      <c r="M9" s="8" t="s">
        <v>164</v>
      </c>
      <c r="N9" s="9">
        <v>3</v>
      </c>
      <c r="O9" s="10"/>
      <c r="P9" s="8" t="s">
        <v>512</v>
      </c>
      <c r="Q9" s="8" t="s">
        <v>886</v>
      </c>
      <c r="R9" s="11">
        <v>549</v>
      </c>
      <c r="S9" s="11">
        <v>1</v>
      </c>
      <c r="T9" s="11">
        <v>545</v>
      </c>
      <c r="U9" s="11">
        <v>0.01</v>
      </c>
      <c r="V9" s="10" t="s">
        <v>887</v>
      </c>
      <c r="W9" s="10"/>
      <c r="X9" t="s">
        <v>512</v>
      </c>
      <c r="Y9" t="s">
        <v>423</v>
      </c>
      <c r="AB9" t="s">
        <v>888</v>
      </c>
      <c r="AC9" t="s">
        <v>515</v>
      </c>
      <c r="AH9" t="s">
        <v>512</v>
      </c>
      <c r="AI9">
        <v>20</v>
      </c>
      <c r="AJ9">
        <v>549</v>
      </c>
      <c r="AK9">
        <v>1</v>
      </c>
      <c r="AN9" t="s">
        <v>523</v>
      </c>
      <c r="AO9" t="s">
        <v>889</v>
      </c>
      <c r="AP9" t="s">
        <v>512</v>
      </c>
      <c r="AQ9">
        <v>33</v>
      </c>
      <c r="AR9" t="s">
        <v>841</v>
      </c>
      <c r="AS9" t="s">
        <v>521</v>
      </c>
      <c r="AT9">
        <v>562</v>
      </c>
      <c r="AU9">
        <v>551</v>
      </c>
    </row>
    <row r="10" spans="1:48" x14ac:dyDescent="0.35">
      <c r="A10">
        <v>82</v>
      </c>
      <c r="B10" s="8" t="s">
        <v>890</v>
      </c>
      <c r="C10" s="8"/>
      <c r="D10" s="8" t="s">
        <v>924</v>
      </c>
      <c r="E10" s="8" t="s">
        <v>464</v>
      </c>
      <c r="F10" s="19"/>
      <c r="G10" s="19"/>
      <c r="H10" s="8" t="s">
        <v>555</v>
      </c>
      <c r="I10" s="8" t="s">
        <v>891</v>
      </c>
      <c r="J10" s="9">
        <v>2</v>
      </c>
      <c r="K10" s="8" t="s">
        <v>164</v>
      </c>
      <c r="L10" s="9">
        <v>2</v>
      </c>
      <c r="M10" s="8" t="s">
        <v>164</v>
      </c>
      <c r="N10" s="9">
        <v>2</v>
      </c>
      <c r="O10" s="10"/>
      <c r="P10" s="8" t="s">
        <v>512</v>
      </c>
      <c r="Q10" s="8" t="s">
        <v>892</v>
      </c>
      <c r="R10" s="11"/>
      <c r="S10" s="11"/>
      <c r="T10" s="11">
        <v>541</v>
      </c>
      <c r="U10" s="11">
        <v>1</v>
      </c>
      <c r="V10" s="10" t="s">
        <v>893</v>
      </c>
      <c r="W10" s="10"/>
      <c r="X10" s="8" t="s">
        <v>515</v>
      </c>
      <c r="Y10" s="8"/>
      <c r="Z10" s="8"/>
      <c r="AA10" s="8"/>
      <c r="AB10" s="8"/>
      <c r="AC10" s="8" t="s">
        <v>515</v>
      </c>
      <c r="AD10" s="12"/>
      <c r="AE10" s="12"/>
      <c r="AF10" s="12"/>
      <c r="AG10" s="12"/>
      <c r="AH10" t="s">
        <v>515</v>
      </c>
      <c r="AP10" t="s">
        <v>515</v>
      </c>
    </row>
    <row r="11" spans="1:48" x14ac:dyDescent="0.35">
      <c r="A11">
        <v>1</v>
      </c>
      <c r="B11" s="8" t="s">
        <v>509</v>
      </c>
      <c r="C11" s="8" t="s">
        <v>510</v>
      </c>
      <c r="D11" s="8" t="s">
        <v>924</v>
      </c>
      <c r="E11" s="8" t="s">
        <v>447</v>
      </c>
      <c r="F11" s="19">
        <v>44.225560000000002</v>
      </c>
      <c r="G11" s="19">
        <v>23.71837</v>
      </c>
      <c r="H11" s="8" t="s">
        <v>511</v>
      </c>
      <c r="I11" s="8"/>
      <c r="J11" s="9">
        <v>2</v>
      </c>
      <c r="K11" s="8" t="s">
        <v>1433</v>
      </c>
      <c r="L11" s="9">
        <v>2</v>
      </c>
      <c r="M11" s="8" t="s">
        <v>164</v>
      </c>
      <c r="N11" s="9">
        <v>2</v>
      </c>
      <c r="O11" s="10"/>
      <c r="P11" s="8" t="s">
        <v>512</v>
      </c>
      <c r="Q11" s="8" t="s">
        <v>513</v>
      </c>
      <c r="R11" s="11">
        <v>618</v>
      </c>
      <c r="S11" s="11">
        <v>0.01</v>
      </c>
      <c r="T11" s="11">
        <v>576</v>
      </c>
      <c r="U11" s="11">
        <v>5.6</v>
      </c>
      <c r="V11" s="10" t="s">
        <v>514</v>
      </c>
      <c r="W11" s="10"/>
      <c r="X11" s="8" t="s">
        <v>515</v>
      </c>
      <c r="Y11" s="8"/>
      <c r="Z11" s="8"/>
      <c r="AA11" s="8"/>
      <c r="AB11" s="8"/>
      <c r="AC11" s="8" t="s">
        <v>515</v>
      </c>
      <c r="AD11" s="12"/>
      <c r="AE11" s="12"/>
      <c r="AF11" s="12"/>
      <c r="AG11" s="12"/>
      <c r="AH11" t="s">
        <v>515</v>
      </c>
      <c r="AP11" t="s">
        <v>515</v>
      </c>
    </row>
    <row r="12" spans="1:48" x14ac:dyDescent="0.35">
      <c r="A12">
        <v>9</v>
      </c>
      <c r="B12" t="s">
        <v>559</v>
      </c>
      <c r="D12" s="8" t="s">
        <v>924</v>
      </c>
      <c r="E12" s="8" t="s">
        <v>450</v>
      </c>
      <c r="F12" s="19">
        <v>138.56</v>
      </c>
      <c r="G12" s="19">
        <v>-31.43</v>
      </c>
      <c r="H12" t="s">
        <v>511</v>
      </c>
      <c r="J12" s="4">
        <v>1</v>
      </c>
      <c r="K12" s="8" t="s">
        <v>1433</v>
      </c>
      <c r="L12" s="4">
        <v>1</v>
      </c>
      <c r="M12" s="8" t="s">
        <v>164</v>
      </c>
      <c r="N12" s="4">
        <v>1</v>
      </c>
      <c r="O12" s="10"/>
      <c r="P12" t="s">
        <v>512</v>
      </c>
      <c r="Q12" t="s">
        <v>560</v>
      </c>
      <c r="R12" s="5">
        <v>657</v>
      </c>
      <c r="S12" s="5">
        <v>17</v>
      </c>
      <c r="T12" s="5">
        <v>593</v>
      </c>
      <c r="U12" s="5">
        <v>32</v>
      </c>
      <c r="V12" t="s">
        <v>561</v>
      </c>
      <c r="W12" s="10"/>
      <c r="X12" t="s">
        <v>515</v>
      </c>
      <c r="AC12" t="s">
        <v>512</v>
      </c>
      <c r="AD12" t="s">
        <v>562</v>
      </c>
      <c r="AE12">
        <v>581</v>
      </c>
      <c r="AF12">
        <v>579</v>
      </c>
      <c r="AG12" t="s">
        <v>563</v>
      </c>
      <c r="AH12" t="s">
        <v>512</v>
      </c>
      <c r="AI12">
        <v>5</v>
      </c>
      <c r="AJ12">
        <v>588</v>
      </c>
      <c r="AK12">
        <v>35</v>
      </c>
      <c r="AL12">
        <v>570</v>
      </c>
      <c r="AN12" t="s">
        <v>523</v>
      </c>
      <c r="AO12" t="s">
        <v>564</v>
      </c>
      <c r="AP12" t="s">
        <v>512</v>
      </c>
      <c r="AQ12">
        <v>22</v>
      </c>
      <c r="AR12" t="s">
        <v>538</v>
      </c>
      <c r="AS12" t="s">
        <v>562</v>
      </c>
      <c r="AT12">
        <v>581</v>
      </c>
      <c r="AU12">
        <v>579</v>
      </c>
    </row>
    <row r="13" spans="1:48" x14ac:dyDescent="0.35">
      <c r="A13">
        <v>14</v>
      </c>
      <c r="B13" t="s">
        <v>582</v>
      </c>
      <c r="D13" s="8" t="s">
        <v>924</v>
      </c>
      <c r="E13" s="8" t="s">
        <v>450</v>
      </c>
      <c r="F13" s="19">
        <v>144.862487484181</v>
      </c>
      <c r="G13" s="19">
        <v>-40.7438283474972</v>
      </c>
      <c r="H13" s="8" t="s">
        <v>511</v>
      </c>
      <c r="I13" s="8" t="s">
        <v>583</v>
      </c>
      <c r="J13" s="4">
        <v>3</v>
      </c>
      <c r="K13" s="8" t="s">
        <v>1433</v>
      </c>
      <c r="L13" s="4">
        <v>3</v>
      </c>
      <c r="M13" s="8" t="s">
        <v>164</v>
      </c>
      <c r="N13" s="4">
        <v>3</v>
      </c>
      <c r="O13" s="10"/>
      <c r="P13" t="s">
        <v>512</v>
      </c>
      <c r="Q13" t="s">
        <v>584</v>
      </c>
      <c r="R13" s="5">
        <v>582</v>
      </c>
      <c r="S13" s="5">
        <v>4</v>
      </c>
      <c r="T13" s="5">
        <v>485.4</v>
      </c>
      <c r="U13" s="5">
        <v>5</v>
      </c>
      <c r="V13" t="s">
        <v>585</v>
      </c>
      <c r="W13" s="10"/>
      <c r="X13" t="s">
        <v>512</v>
      </c>
      <c r="Y13" t="s">
        <v>562</v>
      </c>
      <c r="Z13">
        <v>582</v>
      </c>
      <c r="AA13">
        <v>575</v>
      </c>
      <c r="AB13" t="s">
        <v>586</v>
      </c>
      <c r="AC13" t="s">
        <v>515</v>
      </c>
      <c r="AH13" t="s">
        <v>512</v>
      </c>
      <c r="AI13">
        <v>6</v>
      </c>
      <c r="AJ13">
        <v>582</v>
      </c>
      <c r="AK13">
        <v>4</v>
      </c>
      <c r="AN13" t="s">
        <v>523</v>
      </c>
      <c r="AO13" t="s">
        <v>587</v>
      </c>
      <c r="AP13" t="s">
        <v>512</v>
      </c>
      <c r="AQ13">
        <v>23</v>
      </c>
      <c r="AR13" t="s">
        <v>588</v>
      </c>
      <c r="AS13" t="s">
        <v>562</v>
      </c>
      <c r="AT13">
        <v>581</v>
      </c>
      <c r="AU13">
        <v>579</v>
      </c>
    </row>
    <row r="14" spans="1:48" x14ac:dyDescent="0.35">
      <c r="A14">
        <v>15</v>
      </c>
      <c r="B14" t="s">
        <v>589</v>
      </c>
      <c r="D14" s="8" t="s">
        <v>924</v>
      </c>
      <c r="E14" s="8" t="s">
        <v>450</v>
      </c>
      <c r="F14" s="19">
        <v>131.94</v>
      </c>
      <c r="G14" s="19">
        <v>-28.4</v>
      </c>
      <c r="H14" s="8" t="s">
        <v>511</v>
      </c>
      <c r="I14" s="8"/>
      <c r="J14" s="4">
        <v>1</v>
      </c>
      <c r="K14" s="8" t="s">
        <v>1433</v>
      </c>
      <c r="L14" s="4">
        <v>2</v>
      </c>
      <c r="M14" s="8" t="s">
        <v>164</v>
      </c>
      <c r="N14" s="4">
        <v>2</v>
      </c>
      <c r="O14" s="10"/>
      <c r="P14" t="s">
        <v>512</v>
      </c>
      <c r="Q14" t="s">
        <v>590</v>
      </c>
      <c r="R14" s="5"/>
      <c r="S14" s="5"/>
      <c r="T14" s="5"/>
      <c r="U14" s="5"/>
      <c r="V14" t="s">
        <v>591</v>
      </c>
      <c r="W14" s="10"/>
      <c r="X14" t="s">
        <v>515</v>
      </c>
      <c r="AC14" t="s">
        <v>515</v>
      </c>
      <c r="AH14" t="s">
        <v>515</v>
      </c>
      <c r="AP14" t="s">
        <v>515</v>
      </c>
    </row>
    <row r="15" spans="1:48" x14ac:dyDescent="0.35">
      <c r="A15">
        <v>18</v>
      </c>
      <c r="B15" t="s">
        <v>603</v>
      </c>
      <c r="D15" s="8" t="s">
        <v>924</v>
      </c>
      <c r="E15" s="8" t="s">
        <v>449</v>
      </c>
      <c r="F15" s="19">
        <v>111.35</v>
      </c>
      <c r="G15" s="19">
        <v>30.33</v>
      </c>
      <c r="H15" s="8" t="s">
        <v>511</v>
      </c>
      <c r="I15" s="8"/>
      <c r="J15" s="4"/>
      <c r="K15" s="13" t="s">
        <v>1433</v>
      </c>
      <c r="L15" s="4">
        <v>0</v>
      </c>
      <c r="M15" s="13" t="s">
        <v>600</v>
      </c>
      <c r="N15" s="4"/>
      <c r="O15" t="s">
        <v>1422</v>
      </c>
      <c r="P15" t="s">
        <v>515</v>
      </c>
      <c r="R15" s="5"/>
      <c r="S15" s="5"/>
      <c r="T15" s="5"/>
      <c r="U15" s="5"/>
      <c r="V15" s="6"/>
      <c r="W15" s="10"/>
      <c r="X15" t="s">
        <v>515</v>
      </c>
      <c r="Y15" s="8"/>
      <c r="Z15" s="8"/>
      <c r="AA15" s="8"/>
      <c r="AB15" s="8"/>
      <c r="AC15" t="s">
        <v>515</v>
      </c>
      <c r="AD15" s="12"/>
      <c r="AE15" s="12"/>
      <c r="AF15" s="12"/>
      <c r="AG15" s="12"/>
      <c r="AH15" t="s">
        <v>515</v>
      </c>
      <c r="AP15" t="s">
        <v>515</v>
      </c>
    </row>
    <row r="16" spans="1:48" x14ac:dyDescent="0.35">
      <c r="A16">
        <v>24</v>
      </c>
      <c r="B16" t="s">
        <v>627</v>
      </c>
      <c r="D16" s="8" t="s">
        <v>924</v>
      </c>
      <c r="E16" s="8" t="s">
        <v>453</v>
      </c>
      <c r="F16" s="19">
        <v>-77.64</v>
      </c>
      <c r="G16" s="19">
        <v>39.04</v>
      </c>
      <c r="H16" s="8" t="s">
        <v>511</v>
      </c>
      <c r="I16" t="s">
        <v>628</v>
      </c>
      <c r="J16" s="4">
        <v>2</v>
      </c>
      <c r="K16" s="8" t="s">
        <v>1433</v>
      </c>
      <c r="L16" s="4">
        <v>2</v>
      </c>
      <c r="M16" s="8" t="s">
        <v>164</v>
      </c>
      <c r="N16" s="4">
        <v>2</v>
      </c>
      <c r="O16" s="10"/>
      <c r="P16" t="s">
        <v>512</v>
      </c>
      <c r="Q16" t="s">
        <v>629</v>
      </c>
      <c r="R16" s="5">
        <v>715</v>
      </c>
      <c r="S16" s="5">
        <v>15</v>
      </c>
      <c r="T16" s="5">
        <v>570</v>
      </c>
      <c r="U16" s="5">
        <v>1</v>
      </c>
      <c r="V16" t="s">
        <v>630</v>
      </c>
      <c r="W16" s="10"/>
      <c r="X16" t="s">
        <v>515</v>
      </c>
      <c r="AC16" t="s">
        <v>512</v>
      </c>
      <c r="AD16" t="s">
        <v>611</v>
      </c>
      <c r="AE16">
        <v>572</v>
      </c>
      <c r="AF16">
        <v>570</v>
      </c>
      <c r="AG16" t="s">
        <v>631</v>
      </c>
      <c r="AH16" t="s">
        <v>512</v>
      </c>
      <c r="AI16">
        <v>21</v>
      </c>
      <c r="AL16">
        <v>571</v>
      </c>
      <c r="AM16">
        <v>1</v>
      </c>
      <c r="AN16" t="s">
        <v>523</v>
      </c>
      <c r="AO16" t="s">
        <v>632</v>
      </c>
      <c r="AP16" t="s">
        <v>512</v>
      </c>
      <c r="AQ16">
        <v>41</v>
      </c>
      <c r="AR16" t="s">
        <v>633</v>
      </c>
      <c r="AS16" t="s">
        <v>611</v>
      </c>
      <c r="AT16">
        <v>571</v>
      </c>
      <c r="AU16">
        <v>571</v>
      </c>
    </row>
    <row r="17" spans="1:48" x14ac:dyDescent="0.35">
      <c r="A17">
        <v>26</v>
      </c>
      <c r="B17" t="s">
        <v>642</v>
      </c>
      <c r="C17" t="s">
        <v>918</v>
      </c>
      <c r="D17" s="8" t="s">
        <v>924</v>
      </c>
      <c r="E17" s="8" t="s">
        <v>446</v>
      </c>
      <c r="F17" s="19">
        <v>-53.590888999999997</v>
      </c>
      <c r="G17" s="19">
        <v>46.923333999999997</v>
      </c>
      <c r="H17" t="s">
        <v>511</v>
      </c>
      <c r="J17" s="4">
        <v>4</v>
      </c>
      <c r="K17" s="8" t="s">
        <v>1433</v>
      </c>
      <c r="L17" s="4">
        <v>4</v>
      </c>
      <c r="M17" s="8" t="s">
        <v>164</v>
      </c>
      <c r="N17" s="4">
        <v>4</v>
      </c>
      <c r="O17" s="10"/>
      <c r="P17" t="s">
        <v>512</v>
      </c>
      <c r="Q17" t="s">
        <v>643</v>
      </c>
      <c r="R17" s="5">
        <v>580.9</v>
      </c>
      <c r="S17" s="5">
        <v>0.4</v>
      </c>
      <c r="T17" s="5">
        <v>579.88</v>
      </c>
      <c r="U17" s="5">
        <v>0.44</v>
      </c>
      <c r="V17" t="s">
        <v>644</v>
      </c>
      <c r="W17" s="10"/>
      <c r="X17" t="s">
        <v>512</v>
      </c>
      <c r="Y17" t="s">
        <v>562</v>
      </c>
      <c r="Z17">
        <v>580.9</v>
      </c>
      <c r="AA17">
        <v>579.88</v>
      </c>
      <c r="AB17" t="s">
        <v>645</v>
      </c>
      <c r="AC17" t="s">
        <v>512</v>
      </c>
      <c r="AD17" t="s">
        <v>562</v>
      </c>
      <c r="AE17">
        <v>581</v>
      </c>
      <c r="AF17">
        <v>579</v>
      </c>
      <c r="AG17" t="s">
        <v>563</v>
      </c>
      <c r="AH17" t="s">
        <v>512</v>
      </c>
      <c r="AI17">
        <v>8</v>
      </c>
      <c r="AJ17">
        <v>580.9</v>
      </c>
      <c r="AK17">
        <v>0.4</v>
      </c>
      <c r="AL17">
        <v>579.88</v>
      </c>
      <c r="AM17">
        <v>0.44</v>
      </c>
      <c r="AN17" t="s">
        <v>523</v>
      </c>
      <c r="AO17" t="s">
        <v>646</v>
      </c>
      <c r="AP17" t="s">
        <v>512</v>
      </c>
      <c r="AQ17">
        <v>34</v>
      </c>
      <c r="AR17" t="s">
        <v>525</v>
      </c>
      <c r="AS17" t="s">
        <v>562</v>
      </c>
      <c r="AT17">
        <v>581</v>
      </c>
      <c r="AU17">
        <v>579</v>
      </c>
    </row>
    <row r="18" spans="1:48" x14ac:dyDescent="0.35">
      <c r="A18">
        <v>27</v>
      </c>
      <c r="B18" t="s">
        <v>647</v>
      </c>
      <c r="C18" t="s">
        <v>540</v>
      </c>
      <c r="D18" s="8" t="s">
        <v>924</v>
      </c>
      <c r="E18" s="8" t="s">
        <v>464</v>
      </c>
      <c r="F18" s="19">
        <v>24.356557644520599</v>
      </c>
      <c r="G18" s="19">
        <v>52.212442785414602</v>
      </c>
      <c r="H18" t="s">
        <v>511</v>
      </c>
      <c r="I18" t="s">
        <v>541</v>
      </c>
      <c r="J18" s="4">
        <v>4</v>
      </c>
      <c r="K18" s="8" t="s">
        <v>1433</v>
      </c>
      <c r="L18" s="4">
        <v>4</v>
      </c>
      <c r="M18" s="8" t="s">
        <v>164</v>
      </c>
      <c r="N18" s="4">
        <v>4</v>
      </c>
      <c r="O18" s="10"/>
      <c r="P18" t="s">
        <v>512</v>
      </c>
      <c r="Q18" t="s">
        <v>648</v>
      </c>
      <c r="R18" s="5">
        <v>977</v>
      </c>
      <c r="S18" s="5">
        <v>6</v>
      </c>
      <c r="T18" s="5">
        <v>551</v>
      </c>
      <c r="U18" s="5">
        <v>4</v>
      </c>
      <c r="V18" t="s">
        <v>649</v>
      </c>
      <c r="W18" s="10"/>
      <c r="X18" t="s">
        <v>512</v>
      </c>
      <c r="AB18" t="s">
        <v>572</v>
      </c>
      <c r="AC18" t="s">
        <v>515</v>
      </c>
      <c r="AH18" t="s">
        <v>512</v>
      </c>
      <c r="AI18">
        <v>13</v>
      </c>
      <c r="AJ18">
        <v>555</v>
      </c>
      <c r="AN18" t="s">
        <v>523</v>
      </c>
      <c r="AO18" t="s">
        <v>544</v>
      </c>
      <c r="AP18" t="s">
        <v>512</v>
      </c>
      <c r="AQ18">
        <v>4</v>
      </c>
      <c r="AR18" t="s">
        <v>588</v>
      </c>
      <c r="AS18" t="s">
        <v>521</v>
      </c>
      <c r="AT18">
        <v>562</v>
      </c>
      <c r="AU18">
        <v>551</v>
      </c>
      <c r="AV18" t="s">
        <v>526</v>
      </c>
    </row>
    <row r="19" spans="1:48" x14ac:dyDescent="0.35">
      <c r="A19">
        <v>36</v>
      </c>
      <c r="B19" t="s">
        <v>693</v>
      </c>
      <c r="D19" s="8" t="s">
        <v>924</v>
      </c>
      <c r="E19" s="8" t="s">
        <v>694</v>
      </c>
      <c r="F19" s="19">
        <v>-48.666699999999999</v>
      </c>
      <c r="G19" s="19">
        <v>-24.583300000000001</v>
      </c>
      <c r="H19" t="s">
        <v>511</v>
      </c>
      <c r="I19" t="s">
        <v>695</v>
      </c>
      <c r="J19" s="4">
        <v>2</v>
      </c>
      <c r="K19" s="10" t="s">
        <v>1433</v>
      </c>
      <c r="L19" s="4">
        <v>2</v>
      </c>
      <c r="M19" s="6" t="s">
        <v>1416</v>
      </c>
      <c r="N19" s="4"/>
      <c r="O19" s="6"/>
      <c r="P19" s="8" t="s">
        <v>515</v>
      </c>
      <c r="Q19" s="8"/>
      <c r="R19" s="5"/>
      <c r="S19" s="5"/>
      <c r="T19" s="5"/>
      <c r="U19" s="5"/>
      <c r="V19" s="10"/>
      <c r="W19" s="10"/>
      <c r="X19" t="s">
        <v>512</v>
      </c>
      <c r="AB19" t="s">
        <v>572</v>
      </c>
      <c r="AC19" t="s">
        <v>515</v>
      </c>
      <c r="AH19" t="s">
        <v>512</v>
      </c>
      <c r="AI19">
        <v>25</v>
      </c>
      <c r="AJ19">
        <v>580</v>
      </c>
      <c r="AN19" t="s">
        <v>523</v>
      </c>
      <c r="AO19" t="s">
        <v>696</v>
      </c>
      <c r="AP19" t="s">
        <v>512</v>
      </c>
      <c r="AQ19">
        <v>45</v>
      </c>
      <c r="AR19" t="s">
        <v>538</v>
      </c>
      <c r="AS19" t="s">
        <v>555</v>
      </c>
      <c r="AV19" t="s">
        <v>697</v>
      </c>
    </row>
    <row r="20" spans="1:48" x14ac:dyDescent="0.35">
      <c r="A20">
        <v>38</v>
      </c>
      <c r="B20" t="s">
        <v>702</v>
      </c>
      <c r="C20" t="s">
        <v>703</v>
      </c>
      <c r="D20" s="8" t="s">
        <v>924</v>
      </c>
      <c r="E20" s="8" t="s">
        <v>460</v>
      </c>
      <c r="F20" s="19">
        <v>-7.43</v>
      </c>
      <c r="G20" s="19">
        <v>30.52</v>
      </c>
      <c r="H20" t="s">
        <v>511</v>
      </c>
      <c r="J20" s="4">
        <v>4</v>
      </c>
      <c r="K20" s="8" t="s">
        <v>1433</v>
      </c>
      <c r="L20" s="4">
        <v>3</v>
      </c>
      <c r="M20" s="8" t="s">
        <v>164</v>
      </c>
      <c r="N20" s="4">
        <v>3</v>
      </c>
      <c r="O20" s="10"/>
      <c r="P20" t="s">
        <v>512</v>
      </c>
      <c r="Q20" t="s">
        <v>704</v>
      </c>
      <c r="R20" s="5">
        <v>592.30999999999995</v>
      </c>
      <c r="S20" s="5">
        <v>0.18</v>
      </c>
      <c r="T20" s="5">
        <v>574.9</v>
      </c>
      <c r="U20" s="5">
        <v>3</v>
      </c>
      <c r="V20" t="s">
        <v>705</v>
      </c>
      <c r="W20" s="10"/>
      <c r="X20" t="s">
        <v>515</v>
      </c>
      <c r="AB20" t="s">
        <v>706</v>
      </c>
      <c r="AC20" t="s">
        <v>515</v>
      </c>
      <c r="AG20" t="s">
        <v>706</v>
      </c>
      <c r="AH20" t="s">
        <v>515</v>
      </c>
      <c r="AO20" t="s">
        <v>706</v>
      </c>
      <c r="AP20" t="s">
        <v>515</v>
      </c>
      <c r="AV20" t="s">
        <v>707</v>
      </c>
    </row>
    <row r="21" spans="1:48" x14ac:dyDescent="0.35">
      <c r="A21">
        <v>40</v>
      </c>
      <c r="B21" t="s">
        <v>714</v>
      </c>
      <c r="C21" t="s">
        <v>715</v>
      </c>
      <c r="D21" s="8" t="s">
        <v>924</v>
      </c>
      <c r="E21" s="8" t="s">
        <v>464</v>
      </c>
      <c r="F21" s="19">
        <v>58.87</v>
      </c>
      <c r="G21" s="19">
        <v>58.51</v>
      </c>
      <c r="H21" t="s">
        <v>511</v>
      </c>
      <c r="J21" s="4">
        <v>3</v>
      </c>
      <c r="K21" s="8" t="s">
        <v>1433</v>
      </c>
      <c r="L21" s="4">
        <v>3</v>
      </c>
      <c r="M21" s="8" t="s">
        <v>164</v>
      </c>
      <c r="N21" s="4">
        <v>3</v>
      </c>
      <c r="O21" s="10"/>
      <c r="P21" t="s">
        <v>512</v>
      </c>
      <c r="Q21" t="s">
        <v>716</v>
      </c>
      <c r="R21" s="5">
        <v>671</v>
      </c>
      <c r="S21" s="5">
        <v>24</v>
      </c>
      <c r="T21" s="5">
        <v>557</v>
      </c>
      <c r="U21" s="5">
        <v>13</v>
      </c>
      <c r="V21" t="s">
        <v>717</v>
      </c>
      <c r="W21" s="10"/>
      <c r="X21" t="s">
        <v>515</v>
      </c>
      <c r="AC21" t="s">
        <v>512</v>
      </c>
      <c r="AD21" t="s">
        <v>611</v>
      </c>
      <c r="AE21">
        <v>572</v>
      </c>
      <c r="AF21">
        <v>570</v>
      </c>
      <c r="AG21" t="s">
        <v>631</v>
      </c>
      <c r="AH21" t="s">
        <v>512</v>
      </c>
      <c r="AI21">
        <v>15</v>
      </c>
      <c r="AJ21">
        <v>598.1</v>
      </c>
      <c r="AK21">
        <v>6</v>
      </c>
      <c r="AL21">
        <v>567.20000000000005</v>
      </c>
      <c r="AM21">
        <v>3.9</v>
      </c>
      <c r="AN21" t="s">
        <v>523</v>
      </c>
      <c r="AO21" t="s">
        <v>718</v>
      </c>
      <c r="AP21" t="s">
        <v>512</v>
      </c>
      <c r="AQ21">
        <v>7</v>
      </c>
      <c r="AR21" t="s">
        <v>538</v>
      </c>
      <c r="AS21" t="s">
        <v>562</v>
      </c>
      <c r="AT21">
        <v>581</v>
      </c>
      <c r="AU21">
        <v>579</v>
      </c>
      <c r="AV21" t="s">
        <v>719</v>
      </c>
    </row>
    <row r="22" spans="1:48" x14ac:dyDescent="0.35">
      <c r="A22">
        <v>44</v>
      </c>
      <c r="B22" t="s">
        <v>732</v>
      </c>
      <c r="D22" s="8" t="s">
        <v>924</v>
      </c>
      <c r="E22" s="8" t="s">
        <v>733</v>
      </c>
      <c r="F22" s="19">
        <v>-55.26</v>
      </c>
      <c r="G22" s="19">
        <v>-34.71</v>
      </c>
      <c r="H22" t="s">
        <v>511</v>
      </c>
      <c r="J22" s="4">
        <v>4</v>
      </c>
      <c r="K22" s="8" t="s">
        <v>1433</v>
      </c>
      <c r="L22" s="4">
        <v>3</v>
      </c>
      <c r="M22" s="8" t="s">
        <v>164</v>
      </c>
      <c r="N22" s="4">
        <v>3</v>
      </c>
      <c r="O22" s="10"/>
      <c r="P22" t="s">
        <v>512</v>
      </c>
      <c r="Q22" t="s">
        <v>734</v>
      </c>
      <c r="R22" s="5">
        <v>590</v>
      </c>
      <c r="S22" s="5">
        <v>16</v>
      </c>
      <c r="T22" s="5">
        <v>578</v>
      </c>
      <c r="U22" s="5">
        <v>4.3</v>
      </c>
      <c r="V22" t="s">
        <v>735</v>
      </c>
      <c r="W22" s="10"/>
      <c r="X22" t="s">
        <v>515</v>
      </c>
      <c r="AC22" t="s">
        <v>515</v>
      </c>
      <c r="AH22" t="s">
        <v>512</v>
      </c>
      <c r="AI22">
        <v>24</v>
      </c>
      <c r="AJ22">
        <v>615</v>
      </c>
      <c r="AK22">
        <v>30</v>
      </c>
      <c r="AL22">
        <v>579</v>
      </c>
      <c r="AM22">
        <v>1.5</v>
      </c>
      <c r="AN22" t="s">
        <v>523</v>
      </c>
      <c r="AO22" t="s">
        <v>736</v>
      </c>
      <c r="AP22" t="s">
        <v>512</v>
      </c>
      <c r="AQ22">
        <v>44</v>
      </c>
      <c r="AR22" t="s">
        <v>538</v>
      </c>
      <c r="AS22" t="s">
        <v>562</v>
      </c>
      <c r="AT22">
        <v>581</v>
      </c>
      <c r="AU22">
        <v>579</v>
      </c>
    </row>
    <row r="23" spans="1:48" x14ac:dyDescent="0.35">
      <c r="A23">
        <v>50</v>
      </c>
      <c r="B23" t="s">
        <v>763</v>
      </c>
      <c r="D23" s="8" t="s">
        <v>924</v>
      </c>
      <c r="E23" s="8" t="s">
        <v>446</v>
      </c>
      <c r="F23" s="19">
        <v>-53.74</v>
      </c>
      <c r="G23" s="19">
        <v>47.04</v>
      </c>
      <c r="H23" t="s">
        <v>511</v>
      </c>
      <c r="I23" s="8"/>
      <c r="J23" s="4">
        <v>4</v>
      </c>
      <c r="K23" s="10" t="s">
        <v>1433</v>
      </c>
      <c r="L23" s="4">
        <v>2</v>
      </c>
      <c r="M23" s="6" t="s">
        <v>1417</v>
      </c>
      <c r="N23" s="4"/>
      <c r="O23" s="6"/>
      <c r="P23" t="s">
        <v>515</v>
      </c>
      <c r="R23" s="5"/>
      <c r="S23" s="5"/>
      <c r="T23" s="5"/>
      <c r="U23" s="5"/>
      <c r="W23" s="10"/>
      <c r="X23" t="s">
        <v>515</v>
      </c>
      <c r="AC23" t="s">
        <v>515</v>
      </c>
      <c r="AH23" t="s">
        <v>515</v>
      </c>
      <c r="AP23" t="s">
        <v>515</v>
      </c>
    </row>
    <row r="24" spans="1:48" x14ac:dyDescent="0.35">
      <c r="A24">
        <v>64</v>
      </c>
      <c r="B24" t="s">
        <v>817</v>
      </c>
      <c r="D24" s="8" t="s">
        <v>924</v>
      </c>
      <c r="E24" s="8" t="s">
        <v>818</v>
      </c>
      <c r="F24" s="19">
        <v>-55.302906729658503</v>
      </c>
      <c r="G24" s="19">
        <v>-34.833299833175701</v>
      </c>
      <c r="H24" s="8" t="s">
        <v>511</v>
      </c>
      <c r="I24" s="8"/>
      <c r="J24" s="9">
        <v>3</v>
      </c>
      <c r="K24" s="8" t="s">
        <v>1433</v>
      </c>
      <c r="L24" s="9">
        <v>3</v>
      </c>
      <c r="M24" s="8" t="s">
        <v>164</v>
      </c>
      <c r="N24" s="9">
        <v>3</v>
      </c>
      <c r="O24" s="10"/>
      <c r="P24" s="8" t="s">
        <v>512</v>
      </c>
      <c r="Q24" s="8" t="s">
        <v>819</v>
      </c>
      <c r="R24" s="11">
        <v>594</v>
      </c>
      <c r="S24" s="11">
        <v>16</v>
      </c>
      <c r="T24" s="11">
        <v>578</v>
      </c>
      <c r="U24" s="11">
        <v>4.3</v>
      </c>
      <c r="V24" s="10" t="s">
        <v>820</v>
      </c>
      <c r="W24" s="10"/>
      <c r="X24" t="s">
        <v>515</v>
      </c>
      <c r="AC24" t="s">
        <v>515</v>
      </c>
      <c r="AH24" t="s">
        <v>515</v>
      </c>
      <c r="AP24" t="s">
        <v>515</v>
      </c>
    </row>
    <row r="25" spans="1:48" x14ac:dyDescent="0.35">
      <c r="A25">
        <v>68</v>
      </c>
      <c r="B25" t="s">
        <v>835</v>
      </c>
      <c r="D25" s="8" t="s">
        <v>924</v>
      </c>
      <c r="E25" s="8" t="s">
        <v>836</v>
      </c>
      <c r="F25" s="19">
        <v>-56.513986013985999</v>
      </c>
      <c r="G25" s="19">
        <v>-13.801369863013599</v>
      </c>
      <c r="H25" t="s">
        <v>511</v>
      </c>
      <c r="I25" t="s">
        <v>837</v>
      </c>
      <c r="J25" s="4">
        <v>4</v>
      </c>
      <c r="K25" s="8" t="s">
        <v>1433</v>
      </c>
      <c r="L25" s="4">
        <v>4</v>
      </c>
      <c r="M25" s="8" t="s">
        <v>164</v>
      </c>
      <c r="N25" s="4">
        <v>4</v>
      </c>
      <c r="O25" s="10"/>
      <c r="P25" t="s">
        <v>512</v>
      </c>
      <c r="Q25" t="s">
        <v>838</v>
      </c>
      <c r="R25" s="5">
        <v>640</v>
      </c>
      <c r="S25" s="5">
        <v>15</v>
      </c>
      <c r="T25" s="5">
        <v>528</v>
      </c>
      <c r="U25" s="5">
        <v>26</v>
      </c>
      <c r="V25" t="s">
        <v>839</v>
      </c>
      <c r="W25" s="10"/>
      <c r="X25" t="s">
        <v>512</v>
      </c>
      <c r="Y25" t="s">
        <v>595</v>
      </c>
      <c r="AB25" t="s">
        <v>572</v>
      </c>
      <c r="AC25" t="s">
        <v>515</v>
      </c>
      <c r="AH25" t="s">
        <v>512</v>
      </c>
      <c r="AI25">
        <v>1</v>
      </c>
      <c r="AJ25">
        <v>630</v>
      </c>
      <c r="AN25" t="s">
        <v>523</v>
      </c>
      <c r="AO25" t="s">
        <v>840</v>
      </c>
      <c r="AP25" t="s">
        <v>512</v>
      </c>
      <c r="AQ25">
        <v>43</v>
      </c>
      <c r="AR25" t="s">
        <v>841</v>
      </c>
      <c r="AS25" t="s">
        <v>562</v>
      </c>
      <c r="AT25">
        <v>581</v>
      </c>
      <c r="AU25">
        <v>579</v>
      </c>
      <c r="AV25" t="s">
        <v>659</v>
      </c>
    </row>
    <row r="26" spans="1:48" x14ac:dyDescent="0.35">
      <c r="A26">
        <v>72</v>
      </c>
      <c r="B26" t="s">
        <v>351</v>
      </c>
      <c r="C26" t="s">
        <v>362</v>
      </c>
      <c r="D26" s="8" t="s">
        <v>924</v>
      </c>
      <c r="E26" s="8" t="s">
        <v>446</v>
      </c>
      <c r="F26" s="19">
        <v>-71.079626786237299</v>
      </c>
      <c r="G26" s="19">
        <v>42.301702080100299</v>
      </c>
      <c r="H26" t="s">
        <v>511</v>
      </c>
      <c r="I26" s="8"/>
      <c r="J26" s="4">
        <v>2</v>
      </c>
      <c r="K26" s="8" t="s">
        <v>1433</v>
      </c>
      <c r="L26" s="4">
        <v>4</v>
      </c>
      <c r="M26" s="8" t="s">
        <v>164</v>
      </c>
      <c r="N26" s="4">
        <v>4</v>
      </c>
      <c r="O26" s="10"/>
      <c r="P26" t="s">
        <v>512</v>
      </c>
      <c r="Q26" t="s">
        <v>850</v>
      </c>
      <c r="R26" s="5">
        <v>596.39</v>
      </c>
      <c r="S26" s="5">
        <v>0.79</v>
      </c>
      <c r="T26" s="5">
        <v>509</v>
      </c>
      <c r="U26" s="5">
        <v>5</v>
      </c>
      <c r="V26" t="s">
        <v>851</v>
      </c>
      <c r="W26" s="10"/>
      <c r="X26" t="s">
        <v>512</v>
      </c>
      <c r="Y26" t="s">
        <v>363</v>
      </c>
      <c r="Z26">
        <v>595.5</v>
      </c>
      <c r="AA26">
        <v>565</v>
      </c>
      <c r="AB26" t="s">
        <v>852</v>
      </c>
      <c r="AC26" t="s">
        <v>512</v>
      </c>
      <c r="AD26" t="s">
        <v>562</v>
      </c>
      <c r="AE26">
        <v>581</v>
      </c>
      <c r="AF26">
        <v>579</v>
      </c>
      <c r="AG26" t="s">
        <v>563</v>
      </c>
      <c r="AH26" t="s">
        <v>512</v>
      </c>
      <c r="AI26">
        <v>10</v>
      </c>
      <c r="AJ26">
        <v>595.5</v>
      </c>
      <c r="AK26">
        <v>2</v>
      </c>
      <c r="AL26">
        <v>570</v>
      </c>
      <c r="AN26" t="s">
        <v>523</v>
      </c>
      <c r="AO26" t="s">
        <v>853</v>
      </c>
      <c r="AP26" t="s">
        <v>512</v>
      </c>
      <c r="AQ26">
        <v>38</v>
      </c>
      <c r="AR26" t="s">
        <v>854</v>
      </c>
      <c r="AS26" t="s">
        <v>562</v>
      </c>
      <c r="AT26">
        <v>581</v>
      </c>
      <c r="AU26">
        <v>579</v>
      </c>
    </row>
    <row r="27" spans="1:48" x14ac:dyDescent="0.35">
      <c r="A27">
        <v>73</v>
      </c>
      <c r="B27" t="s">
        <v>855</v>
      </c>
      <c r="D27" s="8" t="s">
        <v>924</v>
      </c>
      <c r="E27" s="8" t="s">
        <v>464</v>
      </c>
      <c r="F27" s="19">
        <v>58.87</v>
      </c>
      <c r="G27" s="19">
        <v>58.51</v>
      </c>
      <c r="H27" t="s">
        <v>511</v>
      </c>
      <c r="I27" t="s">
        <v>1525</v>
      </c>
      <c r="J27" s="4">
        <v>3</v>
      </c>
      <c r="K27" s="8" t="s">
        <v>1433</v>
      </c>
      <c r="L27" s="4">
        <v>3</v>
      </c>
      <c r="M27" s="8" t="s">
        <v>164</v>
      </c>
      <c r="N27" s="4">
        <v>3</v>
      </c>
      <c r="O27" s="10"/>
      <c r="P27" t="s">
        <v>512</v>
      </c>
      <c r="Q27" t="s">
        <v>856</v>
      </c>
      <c r="R27" s="5">
        <v>671</v>
      </c>
      <c r="S27" s="5">
        <v>24</v>
      </c>
      <c r="T27" s="5">
        <v>557</v>
      </c>
      <c r="U27" s="5">
        <v>13</v>
      </c>
      <c r="V27" t="s">
        <v>857</v>
      </c>
      <c r="W27" s="10"/>
      <c r="X27" t="s">
        <v>512</v>
      </c>
      <c r="AB27" t="s">
        <v>572</v>
      </c>
      <c r="AC27" t="s">
        <v>512</v>
      </c>
      <c r="AD27" t="s">
        <v>315</v>
      </c>
      <c r="AE27">
        <v>566</v>
      </c>
      <c r="AF27">
        <v>564</v>
      </c>
      <c r="AG27" t="s">
        <v>536</v>
      </c>
      <c r="AH27" t="s">
        <v>512</v>
      </c>
      <c r="AI27">
        <v>15</v>
      </c>
      <c r="AJ27">
        <v>598.1</v>
      </c>
      <c r="AK27">
        <v>6</v>
      </c>
      <c r="AL27">
        <v>567.20000000000005</v>
      </c>
      <c r="AM27">
        <v>3.9</v>
      </c>
      <c r="AN27" t="s">
        <v>523</v>
      </c>
      <c r="AO27" t="s">
        <v>718</v>
      </c>
      <c r="AP27" t="s">
        <v>512</v>
      </c>
      <c r="AQ27">
        <v>6</v>
      </c>
      <c r="AR27" t="s">
        <v>538</v>
      </c>
      <c r="AS27" t="s">
        <v>315</v>
      </c>
      <c r="AT27">
        <v>565</v>
      </c>
      <c r="AU27">
        <v>560</v>
      </c>
      <c r="AV27" t="s">
        <v>858</v>
      </c>
    </row>
    <row r="28" spans="1:48" x14ac:dyDescent="0.35">
      <c r="A28">
        <v>76</v>
      </c>
      <c r="B28" t="s">
        <v>866</v>
      </c>
      <c r="D28" s="8" t="s">
        <v>924</v>
      </c>
      <c r="E28" s="8" t="s">
        <v>464</v>
      </c>
      <c r="F28" s="19">
        <v>58.87</v>
      </c>
      <c r="G28" s="19">
        <v>58.51</v>
      </c>
      <c r="H28" t="s">
        <v>511</v>
      </c>
      <c r="I28" s="8"/>
      <c r="J28" s="4">
        <v>3</v>
      </c>
      <c r="K28" s="8" t="s">
        <v>1433</v>
      </c>
      <c r="L28" s="4">
        <v>4</v>
      </c>
      <c r="M28" s="10" t="s">
        <v>1426</v>
      </c>
      <c r="N28" s="4">
        <v>4</v>
      </c>
      <c r="O28" s="10" t="s">
        <v>1425</v>
      </c>
      <c r="P28" t="s">
        <v>512</v>
      </c>
      <c r="Q28" t="s">
        <v>867</v>
      </c>
      <c r="R28" s="5">
        <v>671</v>
      </c>
      <c r="S28" s="5">
        <v>24</v>
      </c>
      <c r="T28" s="5">
        <v>559</v>
      </c>
      <c r="U28" s="5">
        <v>16</v>
      </c>
      <c r="V28" t="s">
        <v>868</v>
      </c>
      <c r="W28" s="10"/>
      <c r="X28" t="s">
        <v>512</v>
      </c>
      <c r="AB28" t="s">
        <v>572</v>
      </c>
      <c r="AC28" t="s">
        <v>512</v>
      </c>
      <c r="AD28" t="s">
        <v>562</v>
      </c>
      <c r="AE28">
        <v>581</v>
      </c>
      <c r="AF28">
        <v>579</v>
      </c>
      <c r="AG28" t="s">
        <v>563</v>
      </c>
      <c r="AH28" t="s">
        <v>512</v>
      </c>
      <c r="AI28">
        <v>15</v>
      </c>
      <c r="AJ28">
        <v>598.1</v>
      </c>
      <c r="AK28">
        <v>6</v>
      </c>
      <c r="AL28">
        <v>567.20000000000005</v>
      </c>
      <c r="AM28">
        <v>3.9</v>
      </c>
      <c r="AN28" t="s">
        <v>523</v>
      </c>
      <c r="AO28" t="s">
        <v>869</v>
      </c>
      <c r="AP28" t="s">
        <v>512</v>
      </c>
      <c r="AQ28">
        <v>7</v>
      </c>
      <c r="AR28" t="s">
        <v>538</v>
      </c>
      <c r="AS28" t="s">
        <v>562</v>
      </c>
      <c r="AT28">
        <v>581</v>
      </c>
      <c r="AU28">
        <v>579</v>
      </c>
      <c r="AV28" t="s">
        <v>870</v>
      </c>
    </row>
    <row r="29" spans="1:48" x14ac:dyDescent="0.35">
      <c r="A29">
        <v>77</v>
      </c>
      <c r="B29" t="s">
        <v>871</v>
      </c>
      <c r="D29" s="8" t="s">
        <v>924</v>
      </c>
      <c r="E29" s="8" t="s">
        <v>460</v>
      </c>
      <c r="F29" s="19">
        <v>-6.51</v>
      </c>
      <c r="G29" s="19">
        <v>30.56</v>
      </c>
      <c r="H29" t="s">
        <v>511</v>
      </c>
      <c r="J29" s="4">
        <v>4</v>
      </c>
      <c r="K29" s="8" t="s">
        <v>1433</v>
      </c>
      <c r="L29" s="4">
        <v>3</v>
      </c>
      <c r="M29" s="8" t="s">
        <v>164</v>
      </c>
      <c r="N29" s="4">
        <v>3</v>
      </c>
      <c r="O29" s="10"/>
      <c r="P29" t="s">
        <v>512</v>
      </c>
      <c r="Q29" t="s">
        <v>872</v>
      </c>
      <c r="R29" s="5">
        <v>592.84</v>
      </c>
      <c r="S29" s="5">
        <v>0.17</v>
      </c>
      <c r="T29" s="5">
        <v>579.4</v>
      </c>
      <c r="U29" s="5">
        <v>1.2</v>
      </c>
      <c r="V29" t="s">
        <v>873</v>
      </c>
      <c r="W29" s="10"/>
      <c r="X29" t="s">
        <v>512</v>
      </c>
      <c r="Y29" t="s">
        <v>387</v>
      </c>
      <c r="Z29">
        <v>593</v>
      </c>
      <c r="AA29">
        <v>579</v>
      </c>
      <c r="AB29" t="s">
        <v>874</v>
      </c>
      <c r="AC29" t="s">
        <v>515</v>
      </c>
      <c r="AG29" t="s">
        <v>875</v>
      </c>
      <c r="AH29" t="s">
        <v>512</v>
      </c>
      <c r="AI29">
        <v>29</v>
      </c>
      <c r="AJ29">
        <v>592.30999999999995</v>
      </c>
      <c r="AK29">
        <v>0.18</v>
      </c>
      <c r="AL29">
        <v>579.4</v>
      </c>
      <c r="AM29">
        <v>1.2</v>
      </c>
      <c r="AN29" t="s">
        <v>523</v>
      </c>
      <c r="AO29" t="s">
        <v>876</v>
      </c>
      <c r="AP29" t="s">
        <v>512</v>
      </c>
      <c r="AQ29">
        <v>31</v>
      </c>
      <c r="AR29" t="s">
        <v>640</v>
      </c>
      <c r="AS29" t="s">
        <v>562</v>
      </c>
      <c r="AT29">
        <v>581</v>
      </c>
      <c r="AU29">
        <v>579</v>
      </c>
      <c r="AV29" t="s">
        <v>659</v>
      </c>
    </row>
    <row r="30" spans="1:48" x14ac:dyDescent="0.35">
      <c r="A30">
        <v>79</v>
      </c>
      <c r="B30" t="s">
        <v>403</v>
      </c>
      <c r="C30" t="s">
        <v>1526</v>
      </c>
      <c r="D30" s="8" t="s">
        <v>924</v>
      </c>
      <c r="E30" s="8" t="s">
        <v>446</v>
      </c>
      <c r="F30" s="19">
        <v>-53.379779999999997</v>
      </c>
      <c r="G30" s="19">
        <v>48.376618999999998</v>
      </c>
      <c r="H30" t="s">
        <v>511</v>
      </c>
      <c r="J30" s="4">
        <v>4</v>
      </c>
      <c r="K30" s="8" t="s">
        <v>1433</v>
      </c>
      <c r="L30" s="4">
        <v>4</v>
      </c>
      <c r="M30" s="8" t="s">
        <v>164</v>
      </c>
      <c r="N30" s="4">
        <v>4</v>
      </c>
      <c r="O30" s="10"/>
      <c r="P30" t="s">
        <v>512</v>
      </c>
      <c r="Q30" t="s">
        <v>878</v>
      </c>
      <c r="R30" s="5">
        <v>579.63</v>
      </c>
      <c r="S30" s="5">
        <v>0.15</v>
      </c>
      <c r="T30" s="5">
        <v>579.24</v>
      </c>
      <c r="U30" s="5">
        <v>0.17</v>
      </c>
      <c r="V30" t="s">
        <v>879</v>
      </c>
      <c r="W30" s="10"/>
      <c r="X30" t="s">
        <v>512</v>
      </c>
      <c r="Y30" t="s">
        <v>562</v>
      </c>
      <c r="Z30">
        <v>579.63</v>
      </c>
      <c r="AA30">
        <v>579.88</v>
      </c>
      <c r="AB30" t="s">
        <v>880</v>
      </c>
      <c r="AC30" t="s">
        <v>515</v>
      </c>
      <c r="AH30" t="s">
        <v>515</v>
      </c>
      <c r="AP30" t="s">
        <v>512</v>
      </c>
      <c r="AQ30">
        <v>35</v>
      </c>
      <c r="AR30" t="s">
        <v>525</v>
      </c>
      <c r="AS30" t="s">
        <v>562</v>
      </c>
      <c r="AT30">
        <v>581</v>
      </c>
      <c r="AU30">
        <v>579</v>
      </c>
    </row>
    <row r="31" spans="1:48" x14ac:dyDescent="0.35">
      <c r="A31">
        <v>85</v>
      </c>
      <c r="B31" t="s">
        <v>900</v>
      </c>
      <c r="D31" s="8" t="s">
        <v>924</v>
      </c>
      <c r="E31" s="8" t="s">
        <v>517</v>
      </c>
      <c r="F31" s="19">
        <v>96.1</v>
      </c>
      <c r="G31" s="19">
        <v>41.9</v>
      </c>
      <c r="H31" t="s">
        <v>511</v>
      </c>
      <c r="J31" s="4">
        <v>4</v>
      </c>
      <c r="K31" s="8" t="s">
        <v>1433</v>
      </c>
      <c r="L31" s="4">
        <v>4</v>
      </c>
      <c r="M31" t="s">
        <v>1418</v>
      </c>
      <c r="N31" s="4"/>
      <c r="P31" t="s">
        <v>515</v>
      </c>
      <c r="R31" s="5"/>
      <c r="S31" s="5"/>
      <c r="T31" s="5"/>
      <c r="U31" s="5"/>
      <c r="W31" s="10"/>
      <c r="X31" t="s">
        <v>515</v>
      </c>
      <c r="AC31" t="s">
        <v>515</v>
      </c>
      <c r="AH31" t="s">
        <v>515</v>
      </c>
      <c r="AP31" t="s">
        <v>512</v>
      </c>
      <c r="AQ31">
        <v>13</v>
      </c>
      <c r="AR31" t="s">
        <v>525</v>
      </c>
      <c r="AS31" t="s">
        <v>562</v>
      </c>
      <c r="AT31">
        <v>581</v>
      </c>
      <c r="AU31">
        <v>579</v>
      </c>
    </row>
    <row r="32" spans="1:48" x14ac:dyDescent="0.35">
      <c r="A32">
        <v>89</v>
      </c>
      <c r="B32" s="8" t="s">
        <v>915</v>
      </c>
      <c r="C32" s="8" t="s">
        <v>1459</v>
      </c>
      <c r="D32" s="8" t="s">
        <v>924</v>
      </c>
      <c r="E32" s="8" t="s">
        <v>464</v>
      </c>
      <c r="F32" s="19">
        <v>23.338792482180001</v>
      </c>
      <c r="G32" s="19">
        <v>51.607847863362203</v>
      </c>
      <c r="H32" s="8" t="s">
        <v>511</v>
      </c>
      <c r="I32" s="8" t="s">
        <v>541</v>
      </c>
      <c r="J32" s="9">
        <v>2</v>
      </c>
      <c r="K32" s="8" t="s">
        <v>1433</v>
      </c>
      <c r="L32" s="9">
        <v>2</v>
      </c>
      <c r="M32" s="8" t="s">
        <v>164</v>
      </c>
      <c r="N32" s="9">
        <v>2</v>
      </c>
      <c r="O32" s="10"/>
      <c r="P32" s="8" t="s">
        <v>512</v>
      </c>
      <c r="Q32" s="8" t="s">
        <v>916</v>
      </c>
      <c r="R32" s="11"/>
      <c r="S32" s="11"/>
      <c r="T32" s="11">
        <v>485.4</v>
      </c>
      <c r="U32" s="11">
        <v>1.9</v>
      </c>
      <c r="V32" s="10" t="s">
        <v>917</v>
      </c>
      <c r="W32" s="10"/>
      <c r="X32" s="8" t="s">
        <v>515</v>
      </c>
      <c r="Y32" s="8"/>
      <c r="Z32" s="8"/>
      <c r="AA32" s="8"/>
      <c r="AB32" s="8"/>
      <c r="AC32" s="8" t="s">
        <v>515</v>
      </c>
      <c r="AD32" s="12"/>
      <c r="AE32" s="12"/>
      <c r="AF32" s="12"/>
      <c r="AG32" s="12"/>
      <c r="AH32" t="s">
        <v>515</v>
      </c>
      <c r="AP32" t="s">
        <v>515</v>
      </c>
    </row>
    <row r="33" spans="1:48" x14ac:dyDescent="0.35">
      <c r="A33">
        <v>93</v>
      </c>
      <c r="B33" t="s">
        <v>1528</v>
      </c>
      <c r="C33" t="s">
        <v>1526</v>
      </c>
      <c r="D33" s="8" t="s">
        <v>924</v>
      </c>
      <c r="E33" s="8" t="s">
        <v>446</v>
      </c>
      <c r="F33" s="19">
        <v>-53.578495423021003</v>
      </c>
      <c r="G33" s="19">
        <v>48.357597752424802</v>
      </c>
      <c r="H33" s="8" t="s">
        <v>511</v>
      </c>
      <c r="I33" s="8" t="s">
        <v>1556</v>
      </c>
      <c r="J33" s="9">
        <v>4</v>
      </c>
      <c r="K33" s="8" t="s">
        <v>1433</v>
      </c>
      <c r="L33" s="8"/>
      <c r="M33" s="8" t="s">
        <v>1566</v>
      </c>
      <c r="N33" s="8"/>
      <c r="O33" s="10"/>
      <c r="P33" s="8" t="s">
        <v>515</v>
      </c>
      <c r="Q33" s="8"/>
      <c r="R33" s="8"/>
      <c r="S33" s="8"/>
      <c r="T33" s="8"/>
      <c r="U33" s="8"/>
      <c r="V33" s="10"/>
      <c r="W33" s="10"/>
      <c r="X33" s="8" t="s">
        <v>515</v>
      </c>
      <c r="Y33" s="8"/>
      <c r="Z33" s="8"/>
      <c r="AA33" s="8"/>
      <c r="AB33" s="8"/>
      <c r="AC33" s="8" t="s">
        <v>515</v>
      </c>
      <c r="AD33" s="8"/>
      <c r="AE33" s="8"/>
      <c r="AF33" s="10"/>
      <c r="AG33" s="10"/>
      <c r="AH33" s="8" t="s">
        <v>515</v>
      </c>
      <c r="AI33" s="10"/>
      <c r="AJ33" s="10"/>
      <c r="AK33" s="10"/>
      <c r="AL33" s="10"/>
      <c r="AM33" s="10"/>
      <c r="AN33" s="10"/>
      <c r="AO33" s="10"/>
      <c r="AP33" t="s">
        <v>515</v>
      </c>
      <c r="AQ33" s="10"/>
      <c r="AR33" s="10"/>
      <c r="AS33" s="10"/>
      <c r="AT33" s="10"/>
      <c r="AU33" s="10"/>
      <c r="AV33" s="10"/>
    </row>
    <row r="34" spans="1:48" x14ac:dyDescent="0.35">
      <c r="A34">
        <v>2</v>
      </c>
      <c r="B34" t="s">
        <v>516</v>
      </c>
      <c r="C34" t="s">
        <v>1377</v>
      </c>
      <c r="D34" t="s">
        <v>924</v>
      </c>
      <c r="E34" s="8" t="s">
        <v>517</v>
      </c>
      <c r="F34" s="19"/>
      <c r="G34" s="19"/>
      <c r="H34" t="s">
        <v>533</v>
      </c>
      <c r="I34" t="s">
        <v>1498</v>
      </c>
      <c r="J34" s="9">
        <v>4</v>
      </c>
      <c r="K34" s="8" t="s">
        <v>164</v>
      </c>
      <c r="L34" s="9">
        <v>4</v>
      </c>
      <c r="M34" s="8" t="s">
        <v>164</v>
      </c>
      <c r="N34" s="9">
        <v>4</v>
      </c>
      <c r="O34" s="10"/>
      <c r="P34" t="s">
        <v>512</v>
      </c>
      <c r="Q34" s="8" t="s">
        <v>519</v>
      </c>
      <c r="R34" s="11">
        <v>629</v>
      </c>
      <c r="S34" s="11">
        <v>8</v>
      </c>
      <c r="T34" s="11">
        <v>509</v>
      </c>
      <c r="U34" s="11">
        <v>5</v>
      </c>
      <c r="V34" s="10" t="s">
        <v>520</v>
      </c>
      <c r="W34" s="10"/>
      <c r="X34" t="s">
        <v>515</v>
      </c>
      <c r="AC34" t="s">
        <v>512</v>
      </c>
      <c r="AD34" t="s">
        <v>521</v>
      </c>
      <c r="AE34">
        <v>555</v>
      </c>
      <c r="AF34">
        <v>549</v>
      </c>
      <c r="AG34" t="s">
        <v>522</v>
      </c>
      <c r="AH34" t="s">
        <v>512</v>
      </c>
      <c r="AI34">
        <v>27</v>
      </c>
      <c r="AJ34">
        <v>560</v>
      </c>
      <c r="AL34">
        <v>560</v>
      </c>
      <c r="AN34" t="s">
        <v>523</v>
      </c>
      <c r="AO34" t="s">
        <v>524</v>
      </c>
      <c r="AP34" t="s">
        <v>512</v>
      </c>
      <c r="AQ34">
        <v>10</v>
      </c>
      <c r="AR34" t="s">
        <v>525</v>
      </c>
      <c r="AS34" t="s">
        <v>521</v>
      </c>
      <c r="AT34">
        <v>562</v>
      </c>
      <c r="AU34">
        <v>551</v>
      </c>
      <c r="AV34" t="s">
        <v>526</v>
      </c>
    </row>
    <row r="35" spans="1:48" x14ac:dyDescent="0.35">
      <c r="A35">
        <v>4</v>
      </c>
      <c r="B35" t="s">
        <v>532</v>
      </c>
      <c r="D35" t="s">
        <v>924</v>
      </c>
      <c r="E35" s="8" t="s">
        <v>450</v>
      </c>
      <c r="F35" s="19"/>
      <c r="G35" s="19"/>
      <c r="H35" t="s">
        <v>533</v>
      </c>
      <c r="J35" s="4">
        <v>3</v>
      </c>
      <c r="K35" s="8" t="s">
        <v>164</v>
      </c>
      <c r="L35" s="4">
        <v>3</v>
      </c>
      <c r="M35" s="8" t="s">
        <v>164</v>
      </c>
      <c r="N35" s="4">
        <v>3</v>
      </c>
      <c r="O35" s="10"/>
      <c r="P35" t="s">
        <v>512</v>
      </c>
      <c r="Q35" t="s">
        <v>534</v>
      </c>
      <c r="R35" s="5">
        <v>794</v>
      </c>
      <c r="S35" s="5">
        <v>4</v>
      </c>
      <c r="T35" s="5">
        <v>541</v>
      </c>
      <c r="U35" s="5">
        <v>1</v>
      </c>
      <c r="V35" t="s">
        <v>535</v>
      </c>
      <c r="W35" s="10"/>
      <c r="X35" t="s">
        <v>515</v>
      </c>
      <c r="AC35" t="s">
        <v>512</v>
      </c>
      <c r="AD35" t="s">
        <v>315</v>
      </c>
      <c r="AE35">
        <v>566</v>
      </c>
      <c r="AF35">
        <v>564</v>
      </c>
      <c r="AG35" t="s">
        <v>536</v>
      </c>
      <c r="AH35" t="s">
        <v>512</v>
      </c>
      <c r="AI35">
        <v>4</v>
      </c>
      <c r="AJ35">
        <v>562</v>
      </c>
      <c r="AN35" t="s">
        <v>523</v>
      </c>
      <c r="AO35" t="s">
        <v>537</v>
      </c>
      <c r="AP35" t="s">
        <v>512</v>
      </c>
      <c r="AQ35">
        <v>20</v>
      </c>
      <c r="AR35" t="s">
        <v>538</v>
      </c>
      <c r="AS35" t="s">
        <v>315</v>
      </c>
      <c r="AT35">
        <v>565</v>
      </c>
      <c r="AU35">
        <v>560</v>
      </c>
    </row>
    <row r="36" spans="1:48" x14ac:dyDescent="0.35">
      <c r="A36">
        <v>16</v>
      </c>
      <c r="B36" t="s">
        <v>592</v>
      </c>
      <c r="D36" s="8" t="s">
        <v>924</v>
      </c>
      <c r="E36" s="8" t="s">
        <v>447</v>
      </c>
      <c r="F36" s="19"/>
      <c r="G36" s="19"/>
      <c r="H36" t="s">
        <v>533</v>
      </c>
      <c r="J36" s="9">
        <v>3</v>
      </c>
      <c r="K36" s="8" t="s">
        <v>164</v>
      </c>
      <c r="L36" s="9">
        <v>3</v>
      </c>
      <c r="M36" s="8" t="s">
        <v>164</v>
      </c>
      <c r="N36" s="9">
        <v>3</v>
      </c>
      <c r="O36" s="10"/>
      <c r="P36" s="8" t="s">
        <v>512</v>
      </c>
      <c r="Q36" s="8" t="s">
        <v>593</v>
      </c>
      <c r="R36" s="11">
        <v>570</v>
      </c>
      <c r="S36" s="11">
        <v>4.5999999999999996</v>
      </c>
      <c r="T36" s="11">
        <v>560</v>
      </c>
      <c r="U36" s="11">
        <v>4</v>
      </c>
      <c r="V36" s="10" t="s">
        <v>594</v>
      </c>
      <c r="W36" s="10"/>
      <c r="X36" t="s">
        <v>512</v>
      </c>
      <c r="Y36" t="s">
        <v>595</v>
      </c>
      <c r="Z36">
        <v>570</v>
      </c>
      <c r="AB36" t="s">
        <v>596</v>
      </c>
      <c r="AC36" t="s">
        <v>515</v>
      </c>
      <c r="AH36" t="s">
        <v>512</v>
      </c>
      <c r="AI36">
        <v>2</v>
      </c>
      <c r="AJ36">
        <v>560</v>
      </c>
      <c r="AN36" t="s">
        <v>523</v>
      </c>
      <c r="AO36" t="s">
        <v>597</v>
      </c>
      <c r="AP36" t="s">
        <v>512</v>
      </c>
      <c r="AQ36">
        <v>25</v>
      </c>
      <c r="AR36" t="s">
        <v>525</v>
      </c>
      <c r="AS36" t="s">
        <v>315</v>
      </c>
      <c r="AT36">
        <v>565</v>
      </c>
      <c r="AU36">
        <v>560</v>
      </c>
      <c r="AV36" t="s">
        <v>598</v>
      </c>
    </row>
    <row r="37" spans="1:48" x14ac:dyDescent="0.35">
      <c r="A37">
        <v>28</v>
      </c>
      <c r="B37" t="s">
        <v>650</v>
      </c>
      <c r="D37" s="8" t="s">
        <v>924</v>
      </c>
      <c r="E37" s="8" t="s">
        <v>461</v>
      </c>
      <c r="F37" s="19"/>
      <c r="G37" s="19"/>
      <c r="H37" s="8" t="s">
        <v>533</v>
      </c>
      <c r="J37" s="9">
        <v>3</v>
      </c>
      <c r="K37" s="8" t="s">
        <v>164</v>
      </c>
      <c r="L37" s="9">
        <v>3</v>
      </c>
      <c r="M37" s="8" t="s">
        <v>164</v>
      </c>
      <c r="N37" s="9">
        <v>3</v>
      </c>
      <c r="O37" s="10"/>
      <c r="P37" s="8" t="s">
        <v>512</v>
      </c>
      <c r="Q37" s="8" t="s">
        <v>651</v>
      </c>
      <c r="R37" s="11"/>
      <c r="S37" s="11"/>
      <c r="T37" s="11">
        <v>617</v>
      </c>
      <c r="U37" s="11">
        <v>12</v>
      </c>
      <c r="V37" s="10" t="s">
        <v>652</v>
      </c>
      <c r="W37" s="10"/>
      <c r="X37" t="s">
        <v>512</v>
      </c>
      <c r="Y37" t="s">
        <v>145</v>
      </c>
      <c r="AB37" t="s">
        <v>572</v>
      </c>
      <c r="AC37" t="s">
        <v>515</v>
      </c>
      <c r="AH37" t="s">
        <v>515</v>
      </c>
      <c r="AP37" t="s">
        <v>512</v>
      </c>
      <c r="AQ37">
        <v>27</v>
      </c>
      <c r="AR37" t="s">
        <v>525</v>
      </c>
      <c r="AS37" t="s">
        <v>315</v>
      </c>
      <c r="AT37">
        <v>565</v>
      </c>
      <c r="AU37">
        <v>560</v>
      </c>
    </row>
    <row r="38" spans="1:48" x14ac:dyDescent="0.35">
      <c r="A38">
        <v>30</v>
      </c>
      <c r="B38" t="s">
        <v>660</v>
      </c>
      <c r="C38" t="s">
        <v>661</v>
      </c>
      <c r="D38" s="8" t="s">
        <v>924</v>
      </c>
      <c r="E38" s="8" t="s">
        <v>662</v>
      </c>
      <c r="F38" s="19"/>
      <c r="G38" s="19"/>
      <c r="H38" t="s">
        <v>533</v>
      </c>
      <c r="J38" s="9">
        <v>3</v>
      </c>
      <c r="K38" s="10" t="s">
        <v>1431</v>
      </c>
      <c r="L38" s="9">
        <v>3</v>
      </c>
      <c r="M38" s="10" t="s">
        <v>1413</v>
      </c>
      <c r="N38" s="9">
        <v>2</v>
      </c>
      <c r="O38" s="10"/>
      <c r="P38" s="8" t="s">
        <v>512</v>
      </c>
      <c r="Q38" s="8" t="s">
        <v>663</v>
      </c>
      <c r="R38" s="11">
        <v>615</v>
      </c>
      <c r="S38" s="11">
        <v>6</v>
      </c>
      <c r="T38" s="11">
        <v>541</v>
      </c>
      <c r="U38" s="11">
        <v>1</v>
      </c>
      <c r="V38" s="10" t="s">
        <v>664</v>
      </c>
      <c r="W38" s="10"/>
      <c r="X38" t="s">
        <v>512</v>
      </c>
      <c r="AB38" t="s">
        <v>572</v>
      </c>
      <c r="AC38" t="s">
        <v>512</v>
      </c>
      <c r="AD38" t="s">
        <v>521</v>
      </c>
      <c r="AE38">
        <v>555</v>
      </c>
      <c r="AF38">
        <v>549</v>
      </c>
      <c r="AG38" t="s">
        <v>522</v>
      </c>
      <c r="AH38" t="s">
        <v>512</v>
      </c>
      <c r="AI38">
        <v>28</v>
      </c>
      <c r="AJ38">
        <v>562</v>
      </c>
      <c r="AN38" t="s">
        <v>523</v>
      </c>
      <c r="AO38" t="s">
        <v>665</v>
      </c>
      <c r="AP38" t="s">
        <v>512</v>
      </c>
      <c r="AQ38">
        <v>14</v>
      </c>
      <c r="AR38" t="s">
        <v>666</v>
      </c>
      <c r="AS38" t="s">
        <v>521</v>
      </c>
      <c r="AT38">
        <v>562</v>
      </c>
      <c r="AU38">
        <v>551</v>
      </c>
    </row>
    <row r="39" spans="1:48" x14ac:dyDescent="0.35">
      <c r="A39">
        <v>32</v>
      </c>
      <c r="B39" t="s">
        <v>671</v>
      </c>
      <c r="D39" s="8" t="s">
        <v>924</v>
      </c>
      <c r="E39" s="8" t="s">
        <v>672</v>
      </c>
      <c r="F39" s="19"/>
      <c r="G39" s="19"/>
      <c r="H39" t="s">
        <v>533</v>
      </c>
      <c r="I39" t="s">
        <v>673</v>
      </c>
      <c r="J39" s="9">
        <v>0</v>
      </c>
      <c r="K39" s="8" t="s">
        <v>1576</v>
      </c>
      <c r="L39" s="9">
        <v>0</v>
      </c>
      <c r="M39" s="8" t="s">
        <v>164</v>
      </c>
      <c r="N39" s="9">
        <v>0</v>
      </c>
      <c r="O39" s="10"/>
      <c r="P39" s="8" t="s">
        <v>512</v>
      </c>
      <c r="Q39" s="8" t="s">
        <v>674</v>
      </c>
      <c r="R39" s="11">
        <v>1640</v>
      </c>
      <c r="S39" s="11">
        <v>15</v>
      </c>
      <c r="T39" s="11">
        <v>509</v>
      </c>
      <c r="U39" s="11">
        <v>5</v>
      </c>
      <c r="V39" s="10" t="s">
        <v>675</v>
      </c>
      <c r="W39" s="10"/>
      <c r="X39" t="s">
        <v>515</v>
      </c>
      <c r="AC39" t="s">
        <v>512</v>
      </c>
      <c r="AD39" t="s">
        <v>521</v>
      </c>
      <c r="AE39">
        <v>555</v>
      </c>
      <c r="AF39">
        <v>549</v>
      </c>
      <c r="AG39" t="s">
        <v>522</v>
      </c>
      <c r="AH39" t="s">
        <v>512</v>
      </c>
      <c r="AI39">
        <v>17</v>
      </c>
      <c r="AJ39">
        <v>560</v>
      </c>
      <c r="AL39">
        <v>560</v>
      </c>
      <c r="AN39" t="s">
        <v>523</v>
      </c>
      <c r="AO39" t="s">
        <v>676</v>
      </c>
      <c r="AP39" t="s">
        <v>512</v>
      </c>
      <c r="AQ39">
        <v>16</v>
      </c>
      <c r="AR39" t="s">
        <v>677</v>
      </c>
      <c r="AS39" t="s">
        <v>521</v>
      </c>
      <c r="AT39">
        <v>562</v>
      </c>
      <c r="AU39">
        <v>551</v>
      </c>
    </row>
    <row r="40" spans="1:48" x14ac:dyDescent="0.35">
      <c r="A40">
        <v>33</v>
      </c>
      <c r="B40" s="8" t="s">
        <v>678</v>
      </c>
      <c r="C40" s="8" t="s">
        <v>679</v>
      </c>
      <c r="D40" s="8" t="s">
        <v>924</v>
      </c>
      <c r="E40" s="8" t="s">
        <v>464</v>
      </c>
      <c r="F40" s="19"/>
      <c r="G40" s="19"/>
      <c r="H40" s="8" t="s">
        <v>533</v>
      </c>
      <c r="I40" s="8"/>
      <c r="J40" s="9">
        <v>3</v>
      </c>
      <c r="K40" s="8" t="s">
        <v>1431</v>
      </c>
      <c r="L40" s="9">
        <v>3</v>
      </c>
      <c r="M40" s="8" t="s">
        <v>1562</v>
      </c>
      <c r="N40" s="9">
        <v>1</v>
      </c>
      <c r="O40" s="10"/>
      <c r="P40" s="8" t="s">
        <v>512</v>
      </c>
      <c r="Q40" s="8" t="s">
        <v>680</v>
      </c>
      <c r="R40" s="11">
        <v>1018</v>
      </c>
      <c r="S40" s="11">
        <v>20</v>
      </c>
      <c r="T40" s="11">
        <v>573</v>
      </c>
      <c r="U40" s="11">
        <v>14</v>
      </c>
      <c r="V40" s="10" t="s">
        <v>681</v>
      </c>
      <c r="W40" s="10"/>
      <c r="X40" s="8" t="s">
        <v>515</v>
      </c>
      <c r="AC40" s="8" t="s">
        <v>515</v>
      </c>
      <c r="AH40" t="s">
        <v>515</v>
      </c>
      <c r="AP40" t="s">
        <v>515</v>
      </c>
    </row>
    <row r="41" spans="1:48" x14ac:dyDescent="0.35">
      <c r="A41">
        <v>39</v>
      </c>
      <c r="B41" t="s">
        <v>708</v>
      </c>
      <c r="D41" s="8" t="s">
        <v>924</v>
      </c>
      <c r="E41" s="8" t="s">
        <v>619</v>
      </c>
      <c r="F41" s="19"/>
      <c r="G41" s="19"/>
      <c r="H41" t="s">
        <v>533</v>
      </c>
      <c r="J41" s="4">
        <v>3</v>
      </c>
      <c r="K41" s="8" t="s">
        <v>164</v>
      </c>
      <c r="L41" s="4">
        <v>3</v>
      </c>
      <c r="M41" s="8" t="s">
        <v>164</v>
      </c>
      <c r="N41" s="4">
        <v>3</v>
      </c>
      <c r="O41" s="10"/>
      <c r="P41" t="s">
        <v>512</v>
      </c>
      <c r="Q41" t="s">
        <v>709</v>
      </c>
      <c r="R41" s="5">
        <v>550.29999999999995</v>
      </c>
      <c r="S41" s="5">
        <v>3.6</v>
      </c>
      <c r="T41" s="5">
        <v>541</v>
      </c>
      <c r="U41" s="5">
        <v>1</v>
      </c>
      <c r="V41" t="s">
        <v>710</v>
      </c>
      <c r="W41" s="10"/>
      <c r="X41" t="s">
        <v>512</v>
      </c>
      <c r="Y41" t="s">
        <v>595</v>
      </c>
      <c r="AA41">
        <v>559</v>
      </c>
      <c r="AB41" t="s">
        <v>711</v>
      </c>
      <c r="AC41" t="s">
        <v>515</v>
      </c>
      <c r="AH41" t="s">
        <v>512</v>
      </c>
      <c r="AI41">
        <v>18</v>
      </c>
      <c r="AJ41">
        <v>563.1</v>
      </c>
      <c r="AK41">
        <v>3.9</v>
      </c>
      <c r="AN41" t="s">
        <v>523</v>
      </c>
      <c r="AO41" t="s">
        <v>712</v>
      </c>
      <c r="AP41" t="s">
        <v>512</v>
      </c>
      <c r="AQ41">
        <v>26</v>
      </c>
      <c r="AR41" t="s">
        <v>525</v>
      </c>
      <c r="AS41" t="s">
        <v>315</v>
      </c>
      <c r="AT41">
        <v>565</v>
      </c>
      <c r="AU41">
        <v>560</v>
      </c>
      <c r="AV41" t="s">
        <v>713</v>
      </c>
    </row>
    <row r="42" spans="1:48" x14ac:dyDescent="0.35">
      <c r="A42">
        <v>48</v>
      </c>
      <c r="B42" t="s">
        <v>753</v>
      </c>
      <c r="C42" t="s">
        <v>754</v>
      </c>
      <c r="D42" s="8" t="s">
        <v>924</v>
      </c>
      <c r="E42" s="8" t="s">
        <v>755</v>
      </c>
      <c r="F42" s="19"/>
      <c r="G42" s="19"/>
      <c r="H42" t="s">
        <v>533</v>
      </c>
      <c r="I42" s="8" t="s">
        <v>756</v>
      </c>
      <c r="J42" s="9">
        <v>4</v>
      </c>
      <c r="K42" s="8" t="s">
        <v>164</v>
      </c>
      <c r="L42" s="9">
        <v>4</v>
      </c>
      <c r="M42" s="8" t="s">
        <v>164</v>
      </c>
      <c r="N42" s="9">
        <v>4</v>
      </c>
      <c r="O42" s="10"/>
      <c r="P42" s="8" t="s">
        <v>512</v>
      </c>
      <c r="Q42" s="8" t="s">
        <v>757</v>
      </c>
      <c r="R42" s="11">
        <v>645</v>
      </c>
      <c r="S42" s="11">
        <v>28</v>
      </c>
      <c r="T42" s="11">
        <v>509</v>
      </c>
      <c r="U42" s="11">
        <v>5</v>
      </c>
      <c r="V42" s="10" t="s">
        <v>758</v>
      </c>
      <c r="W42" s="10"/>
      <c r="X42" t="s">
        <v>512</v>
      </c>
      <c r="AB42" t="s">
        <v>572</v>
      </c>
      <c r="AC42" t="s">
        <v>512</v>
      </c>
      <c r="AD42" t="s">
        <v>521</v>
      </c>
      <c r="AE42">
        <v>555</v>
      </c>
      <c r="AF42">
        <v>549</v>
      </c>
      <c r="AG42" t="s">
        <v>522</v>
      </c>
      <c r="AH42" t="s">
        <v>512</v>
      </c>
      <c r="AI42">
        <v>23</v>
      </c>
      <c r="AJ42">
        <v>560</v>
      </c>
      <c r="AL42">
        <v>560</v>
      </c>
      <c r="AN42" t="s">
        <v>523</v>
      </c>
      <c r="AO42" t="s">
        <v>759</v>
      </c>
      <c r="AP42" t="s">
        <v>512</v>
      </c>
      <c r="AQ42">
        <v>17</v>
      </c>
      <c r="AR42" t="s">
        <v>677</v>
      </c>
      <c r="AS42" t="s">
        <v>521</v>
      </c>
      <c r="AT42">
        <v>562</v>
      </c>
      <c r="AU42">
        <v>551</v>
      </c>
      <c r="AV42" t="s">
        <v>760</v>
      </c>
    </row>
    <row r="43" spans="1:48" x14ac:dyDescent="0.35">
      <c r="A43">
        <v>54</v>
      </c>
      <c r="B43" t="s">
        <v>773</v>
      </c>
      <c r="D43" s="8" t="s">
        <v>924</v>
      </c>
      <c r="E43" s="8" t="s">
        <v>464</v>
      </c>
      <c r="F43" s="19"/>
      <c r="G43" s="19"/>
      <c r="H43" t="s">
        <v>533</v>
      </c>
      <c r="I43" t="s">
        <v>774</v>
      </c>
      <c r="J43" s="4">
        <v>4</v>
      </c>
      <c r="K43" s="8" t="s">
        <v>164</v>
      </c>
      <c r="L43" s="4">
        <v>4</v>
      </c>
      <c r="M43" s="8" t="s">
        <v>164</v>
      </c>
      <c r="N43" s="4">
        <v>4</v>
      </c>
      <c r="O43" s="10"/>
      <c r="P43" t="s">
        <v>512</v>
      </c>
      <c r="Q43" t="s">
        <v>775</v>
      </c>
      <c r="R43" s="5">
        <v>620</v>
      </c>
      <c r="S43" s="5">
        <v>14</v>
      </c>
      <c r="T43" s="5">
        <v>612</v>
      </c>
      <c r="U43" s="5">
        <v>18</v>
      </c>
      <c r="V43" t="s">
        <v>776</v>
      </c>
      <c r="W43" s="10"/>
      <c r="X43" t="s">
        <v>512</v>
      </c>
      <c r="Y43" t="s">
        <v>777</v>
      </c>
      <c r="Z43">
        <v>560.6</v>
      </c>
      <c r="AB43" t="s">
        <v>778</v>
      </c>
      <c r="AC43" t="s">
        <v>515</v>
      </c>
      <c r="AG43" t="s">
        <v>779</v>
      </c>
      <c r="AH43" t="s">
        <v>512</v>
      </c>
      <c r="AI43">
        <v>12</v>
      </c>
      <c r="AJ43">
        <v>620</v>
      </c>
      <c r="AL43">
        <v>560</v>
      </c>
      <c r="AN43" t="s">
        <v>523</v>
      </c>
      <c r="AO43" t="s">
        <v>780</v>
      </c>
      <c r="AP43" t="s">
        <v>512</v>
      </c>
      <c r="AQ43">
        <v>2</v>
      </c>
      <c r="AR43" t="s">
        <v>538</v>
      </c>
      <c r="AS43" t="s">
        <v>562</v>
      </c>
      <c r="AT43">
        <v>581</v>
      </c>
      <c r="AU43">
        <v>579</v>
      </c>
      <c r="AV43" t="s">
        <v>659</v>
      </c>
    </row>
    <row r="44" spans="1:48" x14ac:dyDescent="0.35">
      <c r="A44">
        <v>55</v>
      </c>
      <c r="B44" t="s">
        <v>781</v>
      </c>
      <c r="D44" s="8" t="s">
        <v>924</v>
      </c>
      <c r="E44" s="8" t="s">
        <v>464</v>
      </c>
      <c r="F44" s="19"/>
      <c r="G44" s="19"/>
      <c r="H44" t="s">
        <v>533</v>
      </c>
      <c r="I44" s="8" t="s">
        <v>1458</v>
      </c>
      <c r="J44" s="4">
        <v>3</v>
      </c>
      <c r="K44" s="8" t="s">
        <v>164</v>
      </c>
      <c r="L44" s="4">
        <v>3</v>
      </c>
      <c r="M44" s="8" t="s">
        <v>164</v>
      </c>
      <c r="N44" s="4">
        <v>3</v>
      </c>
      <c r="O44" s="10"/>
      <c r="P44" t="s">
        <v>512</v>
      </c>
      <c r="Q44" t="s">
        <v>782</v>
      </c>
      <c r="R44" s="5">
        <v>654</v>
      </c>
      <c r="S44" s="5">
        <v>7</v>
      </c>
      <c r="T44" s="5">
        <v>560</v>
      </c>
      <c r="U44" s="5">
        <v>0.01</v>
      </c>
      <c r="V44" t="s">
        <v>783</v>
      </c>
      <c r="W44" s="10"/>
      <c r="X44" t="s">
        <v>512</v>
      </c>
      <c r="Y44" t="s">
        <v>777</v>
      </c>
      <c r="AB44" t="s">
        <v>572</v>
      </c>
      <c r="AC44" t="s">
        <v>515</v>
      </c>
      <c r="AG44" t="s">
        <v>779</v>
      </c>
      <c r="AH44" t="s">
        <v>512</v>
      </c>
      <c r="AI44">
        <v>11</v>
      </c>
      <c r="AJ44">
        <v>630</v>
      </c>
      <c r="AL44">
        <v>560</v>
      </c>
      <c r="AN44" t="s">
        <v>523</v>
      </c>
      <c r="AO44" t="s">
        <v>784</v>
      </c>
      <c r="AP44" t="s">
        <v>512</v>
      </c>
      <c r="AQ44">
        <v>1</v>
      </c>
      <c r="AR44" t="s">
        <v>525</v>
      </c>
      <c r="AS44" t="s">
        <v>562</v>
      </c>
      <c r="AT44">
        <v>581</v>
      </c>
      <c r="AU44">
        <v>579</v>
      </c>
      <c r="AV44" t="s">
        <v>659</v>
      </c>
    </row>
    <row r="45" spans="1:48" x14ac:dyDescent="0.35">
      <c r="A45">
        <v>62</v>
      </c>
      <c r="B45" t="s">
        <v>809</v>
      </c>
      <c r="C45" t="s">
        <v>810</v>
      </c>
      <c r="D45" s="8" t="s">
        <v>924</v>
      </c>
      <c r="E45" s="8" t="s">
        <v>461</v>
      </c>
      <c r="F45" s="19"/>
      <c r="G45" s="19"/>
      <c r="H45" t="s">
        <v>533</v>
      </c>
      <c r="J45" s="9">
        <v>2</v>
      </c>
      <c r="K45" s="8" t="s">
        <v>164</v>
      </c>
      <c r="L45" s="9">
        <v>2</v>
      </c>
      <c r="M45" s="8" t="s">
        <v>164</v>
      </c>
      <c r="N45" s="9">
        <v>2</v>
      </c>
      <c r="O45" s="10"/>
      <c r="P45" s="8" t="s">
        <v>512</v>
      </c>
      <c r="Q45" s="8" t="s">
        <v>811</v>
      </c>
      <c r="R45" s="11">
        <v>565</v>
      </c>
      <c r="S45" s="11">
        <v>4</v>
      </c>
      <c r="T45" s="11">
        <v>485.4</v>
      </c>
      <c r="U45" s="11">
        <v>1.9</v>
      </c>
      <c r="V45" s="10" t="s">
        <v>812</v>
      </c>
      <c r="W45" s="10"/>
      <c r="X45" t="s">
        <v>512</v>
      </c>
      <c r="Y45" t="s">
        <v>796</v>
      </c>
      <c r="Z45">
        <v>569</v>
      </c>
      <c r="AA45">
        <v>560</v>
      </c>
      <c r="AB45" t="s">
        <v>797</v>
      </c>
      <c r="AC45" t="s">
        <v>512</v>
      </c>
      <c r="AD45" t="s">
        <v>315</v>
      </c>
      <c r="AE45">
        <v>566</v>
      </c>
      <c r="AF45">
        <v>564</v>
      </c>
      <c r="AG45" t="s">
        <v>536</v>
      </c>
      <c r="AH45" t="s">
        <v>512</v>
      </c>
      <c r="AI45">
        <v>16</v>
      </c>
      <c r="AJ45">
        <v>565</v>
      </c>
      <c r="AL45">
        <v>540</v>
      </c>
      <c r="AN45" t="s">
        <v>523</v>
      </c>
      <c r="AO45" t="s">
        <v>574</v>
      </c>
      <c r="AP45" t="s">
        <v>512</v>
      </c>
      <c r="AQ45">
        <v>29</v>
      </c>
      <c r="AR45" t="s">
        <v>525</v>
      </c>
      <c r="AS45" t="s">
        <v>315</v>
      </c>
      <c r="AT45">
        <v>565</v>
      </c>
      <c r="AU45">
        <v>560</v>
      </c>
    </row>
    <row r="46" spans="1:48" x14ac:dyDescent="0.35">
      <c r="A46">
        <v>63</v>
      </c>
      <c r="B46" t="s">
        <v>813</v>
      </c>
      <c r="D46" s="8" t="s">
        <v>924</v>
      </c>
      <c r="E46" s="8" t="s">
        <v>460</v>
      </c>
      <c r="F46" s="19"/>
      <c r="G46" s="19"/>
      <c r="H46" s="8" t="s">
        <v>533</v>
      </c>
      <c r="I46" s="8"/>
      <c r="J46" s="4">
        <v>4</v>
      </c>
      <c r="K46" s="10" t="s">
        <v>1431</v>
      </c>
      <c r="L46" s="4">
        <v>4</v>
      </c>
      <c r="M46" s="10" t="s">
        <v>1414</v>
      </c>
      <c r="N46" s="4">
        <v>3</v>
      </c>
      <c r="O46" s="10"/>
      <c r="P46" s="8" t="s">
        <v>512</v>
      </c>
      <c r="Q46" t="s">
        <v>704</v>
      </c>
      <c r="R46" s="5">
        <v>592.30999999999995</v>
      </c>
      <c r="S46" s="5">
        <v>0.18</v>
      </c>
      <c r="T46" s="5">
        <v>574.9</v>
      </c>
      <c r="U46" s="5">
        <v>3</v>
      </c>
      <c r="V46" t="s">
        <v>705</v>
      </c>
      <c r="W46" t="s">
        <v>814</v>
      </c>
      <c r="X46" t="s">
        <v>512</v>
      </c>
      <c r="Y46" t="s">
        <v>315</v>
      </c>
      <c r="Z46">
        <v>579.4</v>
      </c>
      <c r="AA46">
        <v>578.6</v>
      </c>
      <c r="AB46" t="s">
        <v>815</v>
      </c>
      <c r="AC46" t="s">
        <v>512</v>
      </c>
      <c r="AD46" t="s">
        <v>315</v>
      </c>
      <c r="AE46">
        <v>566</v>
      </c>
      <c r="AF46">
        <v>564</v>
      </c>
      <c r="AG46" t="s">
        <v>536</v>
      </c>
      <c r="AH46" t="s">
        <v>512</v>
      </c>
      <c r="AI46">
        <v>30</v>
      </c>
      <c r="AJ46">
        <v>565</v>
      </c>
      <c r="AK46">
        <v>6</v>
      </c>
      <c r="AL46">
        <v>561</v>
      </c>
      <c r="AM46">
        <v>9.5</v>
      </c>
      <c r="AN46" t="s">
        <v>523</v>
      </c>
      <c r="AO46" t="s">
        <v>816</v>
      </c>
      <c r="AP46" t="s">
        <v>512</v>
      </c>
      <c r="AQ46">
        <v>30</v>
      </c>
      <c r="AR46" t="s">
        <v>525</v>
      </c>
      <c r="AS46" t="s">
        <v>315</v>
      </c>
      <c r="AT46">
        <v>565</v>
      </c>
      <c r="AU46">
        <v>560</v>
      </c>
    </row>
    <row r="47" spans="1:48" x14ac:dyDescent="0.35">
      <c r="A47">
        <v>78</v>
      </c>
      <c r="B47" t="s">
        <v>877</v>
      </c>
      <c r="D47" s="8" t="s">
        <v>924</v>
      </c>
      <c r="E47" s="8" t="s">
        <v>446</v>
      </c>
      <c r="F47" s="19"/>
      <c r="G47" s="19"/>
      <c r="H47" t="s">
        <v>533</v>
      </c>
      <c r="I47" s="8"/>
      <c r="J47" s="4"/>
      <c r="K47" s="10" t="s">
        <v>1434</v>
      </c>
      <c r="L47" s="4">
        <v>0</v>
      </c>
      <c r="M47" s="10" t="s">
        <v>1577</v>
      </c>
      <c r="N47" s="4"/>
      <c r="O47" s="10"/>
      <c r="P47" t="s">
        <v>515</v>
      </c>
      <c r="R47" s="4"/>
      <c r="S47" s="4"/>
      <c r="T47" s="4"/>
      <c r="U47" s="4"/>
      <c r="W47" s="10"/>
      <c r="X47" t="s">
        <v>515</v>
      </c>
      <c r="AC47" t="s">
        <v>512</v>
      </c>
      <c r="AD47" t="s">
        <v>521</v>
      </c>
      <c r="AE47">
        <v>555</v>
      </c>
      <c r="AF47">
        <v>549</v>
      </c>
      <c r="AG47" t="s">
        <v>522</v>
      </c>
      <c r="AH47" t="s">
        <v>515</v>
      </c>
      <c r="AP47" t="s">
        <v>512</v>
      </c>
      <c r="AQ47">
        <v>39</v>
      </c>
      <c r="AR47" t="s">
        <v>538</v>
      </c>
      <c r="AS47" t="s">
        <v>521</v>
      </c>
      <c r="AT47">
        <v>562</v>
      </c>
      <c r="AU47">
        <v>551</v>
      </c>
    </row>
    <row r="48" spans="1:48" x14ac:dyDescent="0.35">
      <c r="A48">
        <v>87</v>
      </c>
      <c r="B48" t="s">
        <v>904</v>
      </c>
      <c r="C48" t="s">
        <v>905</v>
      </c>
      <c r="D48" s="8" t="s">
        <v>924</v>
      </c>
      <c r="E48" s="8" t="s">
        <v>517</v>
      </c>
      <c r="F48" s="19"/>
      <c r="G48" s="19"/>
      <c r="H48" s="8" t="s">
        <v>533</v>
      </c>
      <c r="I48" s="8"/>
      <c r="J48" s="4">
        <v>4</v>
      </c>
      <c r="K48" s="8" t="s">
        <v>164</v>
      </c>
      <c r="L48" s="4">
        <v>4</v>
      </c>
      <c r="M48" s="8" t="s">
        <v>164</v>
      </c>
      <c r="N48" s="4">
        <v>4</v>
      </c>
      <c r="O48" s="10"/>
      <c r="P48" t="s">
        <v>512</v>
      </c>
      <c r="Q48" t="s">
        <v>906</v>
      </c>
      <c r="R48" s="5">
        <v>718</v>
      </c>
      <c r="S48" s="5">
        <v>30</v>
      </c>
      <c r="T48" s="5">
        <v>509</v>
      </c>
      <c r="U48" s="5">
        <v>5</v>
      </c>
      <c r="V48" t="s">
        <v>907</v>
      </c>
      <c r="W48" s="10"/>
      <c r="X48" t="s">
        <v>515</v>
      </c>
      <c r="AC48" t="s">
        <v>515</v>
      </c>
      <c r="AH48" t="s">
        <v>512</v>
      </c>
      <c r="AI48">
        <v>26</v>
      </c>
      <c r="AJ48">
        <v>560</v>
      </c>
      <c r="AL48">
        <v>560</v>
      </c>
      <c r="AN48" t="s">
        <v>523</v>
      </c>
      <c r="AO48" t="s">
        <v>908</v>
      </c>
      <c r="AP48" t="s">
        <v>512</v>
      </c>
      <c r="AQ48">
        <v>8</v>
      </c>
      <c r="AR48" t="s">
        <v>538</v>
      </c>
      <c r="AS48" t="s">
        <v>521</v>
      </c>
      <c r="AT48">
        <v>562</v>
      </c>
      <c r="AU48">
        <v>551</v>
      </c>
      <c r="AV48" t="s">
        <v>526</v>
      </c>
    </row>
    <row r="49" spans="1:48" x14ac:dyDescent="0.35">
      <c r="A49">
        <v>88</v>
      </c>
      <c r="B49" t="s">
        <v>909</v>
      </c>
      <c r="C49" t="s">
        <v>910</v>
      </c>
      <c r="D49" s="8" t="s">
        <v>924</v>
      </c>
      <c r="E49" s="8" t="s">
        <v>755</v>
      </c>
      <c r="F49" s="19"/>
      <c r="G49" s="19"/>
      <c r="H49" s="8" t="s">
        <v>533</v>
      </c>
      <c r="I49" s="8" t="s">
        <v>911</v>
      </c>
      <c r="J49" s="9">
        <v>3</v>
      </c>
      <c r="K49" s="10" t="s">
        <v>1431</v>
      </c>
      <c r="L49" s="9">
        <v>3</v>
      </c>
      <c r="M49" s="10" t="s">
        <v>1415</v>
      </c>
      <c r="N49" s="9">
        <v>2</v>
      </c>
      <c r="O49" s="10"/>
      <c r="P49" s="8" t="s">
        <v>512</v>
      </c>
      <c r="Q49" s="8" t="s">
        <v>912</v>
      </c>
      <c r="R49" s="11">
        <v>818</v>
      </c>
      <c r="S49" s="11">
        <v>4</v>
      </c>
      <c r="T49" s="11">
        <v>509</v>
      </c>
      <c r="U49" s="11">
        <v>5</v>
      </c>
      <c r="V49" s="10" t="s">
        <v>913</v>
      </c>
      <c r="W49" s="10"/>
      <c r="X49" t="s">
        <v>515</v>
      </c>
      <c r="AB49" t="s">
        <v>914</v>
      </c>
      <c r="AC49" t="s">
        <v>512</v>
      </c>
      <c r="AD49" t="s">
        <v>521</v>
      </c>
      <c r="AE49">
        <v>555</v>
      </c>
      <c r="AF49">
        <v>549</v>
      </c>
      <c r="AG49" t="s">
        <v>522</v>
      </c>
      <c r="AH49" t="s">
        <v>512</v>
      </c>
      <c r="AI49">
        <v>23</v>
      </c>
      <c r="AJ49">
        <v>560</v>
      </c>
      <c r="AL49">
        <v>560</v>
      </c>
      <c r="AN49" t="s">
        <v>523</v>
      </c>
      <c r="AO49" t="s">
        <v>759</v>
      </c>
      <c r="AP49" t="s">
        <v>512</v>
      </c>
      <c r="AQ49">
        <v>16</v>
      </c>
      <c r="AR49" t="s">
        <v>677</v>
      </c>
      <c r="AS49" t="s">
        <v>521</v>
      </c>
      <c r="AT49">
        <v>562</v>
      </c>
      <c r="AU49">
        <v>551</v>
      </c>
      <c r="AV49" t="s">
        <v>760</v>
      </c>
    </row>
    <row r="50" spans="1:48" x14ac:dyDescent="0.35">
      <c r="A50">
        <v>20</v>
      </c>
      <c r="B50" t="s">
        <v>606</v>
      </c>
      <c r="D50" s="8" t="s">
        <v>924</v>
      </c>
      <c r="E50" s="8" t="s">
        <v>450</v>
      </c>
      <c r="F50" s="19">
        <f>AVERAGE(_xlfn.XLOOKUP($B50, meih_occurrences!$C:$C, meih_occurrences!$G:$G, "", 0))</f>
        <v>126.7</v>
      </c>
      <c r="G50" s="19">
        <f>AVERAGE(_xlfn.XLOOKUP($B50, meih_occurrences!$C:$C, meih_occurrences!$H:$H, "", 0))</f>
        <v>-18.7</v>
      </c>
      <c r="H50" t="s">
        <v>518</v>
      </c>
      <c r="I50" t="s">
        <v>607</v>
      </c>
      <c r="J50" s="4">
        <v>3</v>
      </c>
      <c r="K50" s="8" t="s">
        <v>164</v>
      </c>
      <c r="L50" s="4">
        <v>3</v>
      </c>
      <c r="M50" s="8" t="s">
        <v>164</v>
      </c>
      <c r="N50" s="4">
        <v>3</v>
      </c>
      <c r="O50" s="10"/>
      <c r="P50" t="s">
        <v>512</v>
      </c>
      <c r="Q50" t="s">
        <v>608</v>
      </c>
      <c r="R50" s="5">
        <v>1857</v>
      </c>
      <c r="S50" s="5">
        <v>5</v>
      </c>
      <c r="T50" s="5">
        <v>513</v>
      </c>
      <c r="U50" s="5">
        <v>12</v>
      </c>
      <c r="V50" t="s">
        <v>609</v>
      </c>
      <c r="W50" s="10"/>
      <c r="X50" t="s">
        <v>512</v>
      </c>
      <c r="Y50" t="s">
        <v>610</v>
      </c>
      <c r="AB50" t="s">
        <v>572</v>
      </c>
      <c r="AC50" t="s">
        <v>512</v>
      </c>
      <c r="AD50" t="s">
        <v>611</v>
      </c>
      <c r="AE50">
        <v>572</v>
      </c>
      <c r="AF50">
        <v>570</v>
      </c>
      <c r="AG50" t="s">
        <v>612</v>
      </c>
      <c r="AH50" t="s">
        <v>512</v>
      </c>
      <c r="AI50">
        <v>3</v>
      </c>
      <c r="AN50" t="s">
        <v>523</v>
      </c>
      <c r="AO50" t="s">
        <v>613</v>
      </c>
      <c r="AP50" t="s">
        <v>512</v>
      </c>
      <c r="AQ50">
        <v>18</v>
      </c>
      <c r="AR50" t="s">
        <v>538</v>
      </c>
      <c r="AS50" t="s">
        <v>611</v>
      </c>
      <c r="AT50">
        <v>571</v>
      </c>
      <c r="AU50">
        <v>571</v>
      </c>
      <c r="AV50" t="s">
        <v>614</v>
      </c>
    </row>
    <row r="51" spans="1:48" x14ac:dyDescent="0.35">
      <c r="A51">
        <v>22</v>
      </c>
      <c r="B51" s="8" t="s">
        <v>618</v>
      </c>
      <c r="C51" s="8"/>
      <c r="D51" s="8" t="s">
        <v>924</v>
      </c>
      <c r="E51" s="8" t="s">
        <v>619</v>
      </c>
      <c r="F51" s="19">
        <f>AVERAGE(_xlfn.XLOOKUP($B51, meih_occurrences!$C:$C, meih_occurrences!$G:$G, "", 0))</f>
        <v>56</v>
      </c>
      <c r="G51" s="19">
        <f>AVERAGE(_xlfn.XLOOKUP($B51, meih_occurrences!$C:$C, meih_occurrences!$H:$H, "", 0))</f>
        <v>32</v>
      </c>
      <c r="H51" s="8" t="s">
        <v>518</v>
      </c>
      <c r="I51" s="8" t="s">
        <v>620</v>
      </c>
      <c r="J51" s="9">
        <v>3</v>
      </c>
      <c r="K51" s="8" t="s">
        <v>164</v>
      </c>
      <c r="L51" s="9">
        <v>3</v>
      </c>
      <c r="M51" s="8" t="s">
        <v>164</v>
      </c>
      <c r="N51" s="9">
        <v>3</v>
      </c>
      <c r="O51" s="10"/>
      <c r="P51" s="8" t="s">
        <v>512</v>
      </c>
      <c r="Q51" s="8" t="s">
        <v>621</v>
      </c>
      <c r="R51" s="11">
        <v>635</v>
      </c>
      <c r="S51" s="11">
        <v>5</v>
      </c>
      <c r="T51" s="11">
        <v>541</v>
      </c>
      <c r="U51" s="11">
        <v>1</v>
      </c>
      <c r="V51" s="10" t="s">
        <v>622</v>
      </c>
      <c r="W51" s="10"/>
      <c r="X51" s="8" t="s">
        <v>515</v>
      </c>
      <c r="Y51" s="8"/>
      <c r="Z51" s="8"/>
      <c r="AA51" s="8"/>
      <c r="AB51" s="8"/>
      <c r="AC51" s="8" t="s">
        <v>515</v>
      </c>
      <c r="AD51" s="12"/>
      <c r="AE51" s="12"/>
      <c r="AF51" s="12"/>
      <c r="AG51" s="12"/>
      <c r="AH51" t="s">
        <v>515</v>
      </c>
      <c r="AP51" t="s">
        <v>515</v>
      </c>
    </row>
    <row r="52" spans="1:48" x14ac:dyDescent="0.35">
      <c r="A52">
        <v>37</v>
      </c>
      <c r="B52" s="8" t="s">
        <v>698</v>
      </c>
      <c r="C52" s="8"/>
      <c r="D52" s="8" t="s">
        <v>924</v>
      </c>
      <c r="E52" s="8" t="s">
        <v>517</v>
      </c>
      <c r="F52" s="19">
        <f>AVERAGE(_xlfn.XLOOKUP($B52, meih_occurrences!$C:$C, meih_occurrences!$G:$G, "", 0))</f>
        <v>69</v>
      </c>
      <c r="G52" s="19">
        <f>AVERAGE(_xlfn.XLOOKUP($B52, meih_occurrences!$C:$C, meih_occurrences!$H:$H, "", 0))</f>
        <v>44</v>
      </c>
      <c r="H52" s="8" t="s">
        <v>518</v>
      </c>
      <c r="I52" s="8" t="s">
        <v>699</v>
      </c>
      <c r="J52" s="9">
        <v>3</v>
      </c>
      <c r="K52" s="8" t="s">
        <v>164</v>
      </c>
      <c r="L52" s="9">
        <v>3</v>
      </c>
      <c r="M52" s="8" t="s">
        <v>164</v>
      </c>
      <c r="N52" s="9">
        <v>3</v>
      </c>
      <c r="O52" s="10"/>
      <c r="P52" s="8" t="s">
        <v>512</v>
      </c>
      <c r="Q52" s="8" t="s">
        <v>700</v>
      </c>
      <c r="R52" s="11"/>
      <c r="S52" s="11"/>
      <c r="T52" s="11">
        <v>485.4</v>
      </c>
      <c r="U52" s="11">
        <v>1.9</v>
      </c>
      <c r="V52" s="10" t="s">
        <v>701</v>
      </c>
      <c r="W52" s="10"/>
      <c r="X52" s="8" t="s">
        <v>515</v>
      </c>
      <c r="Y52" s="8"/>
      <c r="Z52" s="8"/>
      <c r="AA52" s="8"/>
      <c r="AB52" s="8"/>
      <c r="AC52" s="8" t="s">
        <v>515</v>
      </c>
      <c r="AD52" s="12"/>
      <c r="AE52" s="12"/>
      <c r="AF52" s="12"/>
      <c r="AG52" s="12"/>
      <c r="AH52" t="s">
        <v>515</v>
      </c>
      <c r="AP52" t="s">
        <v>515</v>
      </c>
    </row>
    <row r="53" spans="1:48" x14ac:dyDescent="0.35">
      <c r="A53">
        <v>66</v>
      </c>
      <c r="B53" t="s">
        <v>826</v>
      </c>
      <c r="C53" t="s">
        <v>827</v>
      </c>
      <c r="D53" s="8" t="s">
        <v>924</v>
      </c>
      <c r="E53" s="8" t="s">
        <v>517</v>
      </c>
      <c r="F53" s="19">
        <f>AVERAGE(_xlfn.XLOOKUP($B53, meih_occurrences!$C:$C, meih_occurrences!$G:$G, "", 0))</f>
        <v>69</v>
      </c>
      <c r="G53" s="19">
        <f>AVERAGE(_xlfn.XLOOKUP($B53, meih_occurrences!$C:$C, meih_occurrences!$H:$H, "", 0))</f>
        <v>44</v>
      </c>
      <c r="H53" s="8" t="s">
        <v>518</v>
      </c>
      <c r="I53" s="8" t="s">
        <v>822</v>
      </c>
      <c r="J53" s="9">
        <v>3</v>
      </c>
      <c r="K53" s="8" t="s">
        <v>164</v>
      </c>
      <c r="L53" s="9">
        <v>3</v>
      </c>
      <c r="M53" s="8" t="s">
        <v>164</v>
      </c>
      <c r="N53" s="9">
        <v>3</v>
      </c>
      <c r="O53" s="10"/>
      <c r="P53" s="8" t="s">
        <v>512</v>
      </c>
      <c r="Q53" s="8" t="s">
        <v>828</v>
      </c>
      <c r="R53" s="11">
        <v>629</v>
      </c>
      <c r="S53" s="11">
        <v>8</v>
      </c>
      <c r="T53" s="11">
        <v>509</v>
      </c>
      <c r="U53" s="11">
        <v>5</v>
      </c>
      <c r="V53" s="10" t="s">
        <v>829</v>
      </c>
      <c r="W53" s="10"/>
      <c r="X53" t="s">
        <v>515</v>
      </c>
      <c r="AC53" t="s">
        <v>515</v>
      </c>
      <c r="AH53" t="s">
        <v>515</v>
      </c>
      <c r="AP53" t="s">
        <v>512</v>
      </c>
      <c r="AQ53">
        <v>11</v>
      </c>
      <c r="AR53" t="s">
        <v>555</v>
      </c>
      <c r="AS53" t="s">
        <v>562</v>
      </c>
      <c r="AT53">
        <v>581</v>
      </c>
      <c r="AU53">
        <v>579</v>
      </c>
      <c r="AV53" t="s">
        <v>830</v>
      </c>
    </row>
    <row r="54" spans="1:48" x14ac:dyDescent="0.35">
      <c r="A54">
        <v>75</v>
      </c>
      <c r="B54" t="s">
        <v>863</v>
      </c>
      <c r="D54" s="8" t="s">
        <v>924</v>
      </c>
      <c r="E54" s="8" t="s">
        <v>517</v>
      </c>
      <c r="F54" s="19">
        <v>80.97</v>
      </c>
      <c r="G54" s="19">
        <v>44.34</v>
      </c>
      <c r="H54" t="s">
        <v>518</v>
      </c>
      <c r="I54" t="s">
        <v>1487</v>
      </c>
      <c r="J54" s="4">
        <v>4</v>
      </c>
      <c r="K54" s="8" t="s">
        <v>1433</v>
      </c>
      <c r="L54" s="4">
        <v>4</v>
      </c>
      <c r="M54" s="8" t="s">
        <v>164</v>
      </c>
      <c r="N54" s="4">
        <v>4</v>
      </c>
      <c r="O54" s="10"/>
      <c r="P54" t="s">
        <v>512</v>
      </c>
      <c r="Q54" t="s">
        <v>864</v>
      </c>
      <c r="R54" s="5">
        <v>592</v>
      </c>
      <c r="S54" s="5">
        <v>5</v>
      </c>
      <c r="T54" s="5">
        <v>509</v>
      </c>
      <c r="U54" s="5">
        <v>5</v>
      </c>
      <c r="V54" t="s">
        <v>865</v>
      </c>
      <c r="W54" s="10"/>
      <c r="X54" t="s">
        <v>515</v>
      </c>
      <c r="AC54" t="s">
        <v>515</v>
      </c>
      <c r="AH54" t="s">
        <v>515</v>
      </c>
      <c r="AP54" t="s">
        <v>512</v>
      </c>
      <c r="AQ54">
        <v>12</v>
      </c>
      <c r="AR54" t="s">
        <v>525</v>
      </c>
      <c r="AS54" t="s">
        <v>562</v>
      </c>
      <c r="AT54">
        <v>581</v>
      </c>
      <c r="AU54">
        <v>579</v>
      </c>
    </row>
    <row r="55" spans="1:48" x14ac:dyDescent="0.35">
      <c r="A55">
        <v>92</v>
      </c>
      <c r="B55" t="s">
        <v>1475</v>
      </c>
      <c r="D55" s="8" t="s">
        <v>924</v>
      </c>
      <c r="E55" s="8" t="s">
        <v>755</v>
      </c>
      <c r="F55" s="19">
        <v>116.78805555555556</v>
      </c>
      <c r="G55" s="19">
        <v>32.647222222222219</v>
      </c>
      <c r="H55" s="8" t="s">
        <v>518</v>
      </c>
      <c r="I55" s="8" t="s">
        <v>1500</v>
      </c>
      <c r="J55" s="4">
        <v>2</v>
      </c>
      <c r="K55" s="8" t="s">
        <v>1433</v>
      </c>
      <c r="L55" s="8"/>
      <c r="M55" s="8"/>
      <c r="N55" s="8"/>
      <c r="O55" s="10"/>
      <c r="P55" s="8" t="s">
        <v>515</v>
      </c>
      <c r="Q55" s="8"/>
      <c r="R55" s="8"/>
      <c r="S55" s="8"/>
      <c r="T55" s="8"/>
      <c r="U55" s="8"/>
      <c r="V55" s="10"/>
      <c r="W55" s="10"/>
      <c r="X55" s="8" t="s">
        <v>515</v>
      </c>
      <c r="Y55" s="8"/>
      <c r="Z55" s="8"/>
      <c r="AA55" s="8"/>
      <c r="AB55" s="8"/>
      <c r="AC55" s="8" t="s">
        <v>515</v>
      </c>
      <c r="AD55" s="8"/>
      <c r="AE55" s="8"/>
      <c r="AF55" s="10"/>
      <c r="AG55" s="10"/>
      <c r="AH55" s="8" t="s">
        <v>515</v>
      </c>
      <c r="AI55" s="10"/>
      <c r="AJ55" s="10"/>
      <c r="AK55" s="10"/>
      <c r="AL55" s="10"/>
      <c r="AM55" s="10"/>
      <c r="AN55" s="10"/>
      <c r="AO55" s="10"/>
      <c r="AP55" t="s">
        <v>515</v>
      </c>
      <c r="AQ55" s="10"/>
      <c r="AR55" s="10"/>
      <c r="AS55" s="10"/>
      <c r="AT55" s="10"/>
      <c r="AU55" s="10"/>
      <c r="AV55" s="10"/>
    </row>
    <row r="56" spans="1:48" x14ac:dyDescent="0.35">
      <c r="A56">
        <v>3</v>
      </c>
      <c r="B56" s="8" t="s">
        <v>527</v>
      </c>
      <c r="C56" s="8"/>
      <c r="D56" s="8" t="s">
        <v>924</v>
      </c>
      <c r="E56" s="8" t="s">
        <v>517</v>
      </c>
      <c r="F56" s="19"/>
      <c r="G56" s="19"/>
      <c r="H56" s="8" t="s">
        <v>528</v>
      </c>
      <c r="I56" s="8" t="s">
        <v>529</v>
      </c>
      <c r="J56" s="9">
        <v>2</v>
      </c>
      <c r="K56" s="8" t="s">
        <v>164</v>
      </c>
      <c r="L56" s="9">
        <v>2</v>
      </c>
      <c r="M56" s="8" t="s">
        <v>164</v>
      </c>
      <c r="N56" s="9">
        <v>2</v>
      </c>
      <c r="O56" s="10"/>
      <c r="P56" s="8" t="s">
        <v>512</v>
      </c>
      <c r="Q56" s="8" t="s">
        <v>530</v>
      </c>
      <c r="R56" s="11"/>
      <c r="S56" s="11"/>
      <c r="T56" s="11">
        <v>509</v>
      </c>
      <c r="U56" s="11">
        <v>5</v>
      </c>
      <c r="V56" s="10" t="s">
        <v>531</v>
      </c>
      <c r="W56" s="10"/>
      <c r="X56" s="8" t="s">
        <v>515</v>
      </c>
      <c r="Y56" s="8"/>
      <c r="Z56" s="8"/>
      <c r="AA56" s="8"/>
      <c r="AB56" s="8"/>
      <c r="AC56" s="8" t="s">
        <v>515</v>
      </c>
      <c r="AD56" s="12"/>
      <c r="AE56" s="12"/>
      <c r="AF56" s="12"/>
      <c r="AG56" s="12"/>
      <c r="AH56" t="s">
        <v>515</v>
      </c>
      <c r="AP56" t="s">
        <v>515</v>
      </c>
    </row>
    <row r="57" spans="1:48" x14ac:dyDescent="0.35">
      <c r="A57">
        <v>5</v>
      </c>
      <c r="B57" t="s">
        <v>539</v>
      </c>
      <c r="C57" t="s">
        <v>540</v>
      </c>
      <c r="D57" t="s">
        <v>924</v>
      </c>
      <c r="E57" s="8" t="s">
        <v>464</v>
      </c>
      <c r="F57" s="19"/>
      <c r="G57" s="19"/>
      <c r="H57" t="s">
        <v>528</v>
      </c>
      <c r="I57" t="s">
        <v>541</v>
      </c>
      <c r="J57" s="4">
        <v>3</v>
      </c>
      <c r="K57" s="8" t="s">
        <v>164</v>
      </c>
      <c r="L57" s="4">
        <v>3</v>
      </c>
      <c r="M57" s="8" t="s">
        <v>164</v>
      </c>
      <c r="N57" s="4">
        <v>3</v>
      </c>
      <c r="O57" s="10"/>
      <c r="P57" t="s">
        <v>512</v>
      </c>
      <c r="Q57" t="s">
        <v>542</v>
      </c>
      <c r="R57" s="5">
        <v>977</v>
      </c>
      <c r="S57" s="5">
        <v>6</v>
      </c>
      <c r="T57" s="5">
        <v>551</v>
      </c>
      <c r="U57" s="5">
        <v>4</v>
      </c>
      <c r="V57" t="s">
        <v>543</v>
      </c>
      <c r="W57" s="10"/>
      <c r="X57" t="s">
        <v>515</v>
      </c>
      <c r="AC57" t="s">
        <v>515</v>
      </c>
      <c r="AH57" t="s">
        <v>512</v>
      </c>
      <c r="AI57">
        <v>13</v>
      </c>
      <c r="AJ57">
        <v>555</v>
      </c>
      <c r="AN57" t="s">
        <v>523</v>
      </c>
      <c r="AO57" t="s">
        <v>544</v>
      </c>
      <c r="AP57" t="s">
        <v>515</v>
      </c>
    </row>
    <row r="58" spans="1:48" x14ac:dyDescent="0.35">
      <c r="A58">
        <v>6</v>
      </c>
      <c r="B58" s="8" t="s">
        <v>545</v>
      </c>
      <c r="C58" s="8"/>
      <c r="D58" s="8" t="s">
        <v>924</v>
      </c>
      <c r="E58" s="8" t="s">
        <v>450</v>
      </c>
      <c r="F58" s="19"/>
      <c r="G58" s="19"/>
      <c r="H58" s="8" t="s">
        <v>528</v>
      </c>
      <c r="I58" s="8" t="s">
        <v>546</v>
      </c>
      <c r="J58" s="9">
        <v>4</v>
      </c>
      <c r="K58" s="8" t="s">
        <v>164</v>
      </c>
      <c r="L58" s="9">
        <v>4</v>
      </c>
      <c r="M58" s="8" t="s">
        <v>164</v>
      </c>
      <c r="N58" s="9">
        <v>4</v>
      </c>
      <c r="O58" s="10"/>
      <c r="P58" s="8" t="s">
        <v>512</v>
      </c>
      <c r="Q58" s="8" t="s">
        <v>547</v>
      </c>
      <c r="R58" s="11"/>
      <c r="S58" s="11"/>
      <c r="T58" s="11">
        <v>508</v>
      </c>
      <c r="U58" s="11">
        <v>8</v>
      </c>
      <c r="V58" s="10" t="s">
        <v>548</v>
      </c>
      <c r="W58" s="10"/>
      <c r="X58" s="8" t="s">
        <v>515</v>
      </c>
      <c r="Y58" s="8"/>
      <c r="Z58" s="8"/>
      <c r="AA58" s="8"/>
      <c r="AB58" s="8"/>
      <c r="AC58" s="8" t="s">
        <v>515</v>
      </c>
      <c r="AD58" s="12"/>
      <c r="AE58" s="12"/>
      <c r="AF58" s="12"/>
      <c r="AG58" s="12"/>
      <c r="AH58" t="s">
        <v>515</v>
      </c>
      <c r="AP58" t="s">
        <v>515</v>
      </c>
    </row>
    <row r="59" spans="1:48" x14ac:dyDescent="0.35">
      <c r="A59">
        <v>7</v>
      </c>
      <c r="B59" s="8" t="s">
        <v>549</v>
      </c>
      <c r="C59" s="8"/>
      <c r="D59" s="8" t="s">
        <v>924</v>
      </c>
      <c r="E59" s="8" t="s">
        <v>450</v>
      </c>
      <c r="F59" s="19"/>
      <c r="G59" s="19"/>
      <c r="H59" s="8" t="s">
        <v>528</v>
      </c>
      <c r="I59" s="8" t="s">
        <v>550</v>
      </c>
      <c r="J59" s="9">
        <v>4</v>
      </c>
      <c r="K59" s="8" t="s">
        <v>164</v>
      </c>
      <c r="L59" s="9">
        <v>4</v>
      </c>
      <c r="M59" s="8" t="s">
        <v>164</v>
      </c>
      <c r="N59" s="9">
        <v>4</v>
      </c>
      <c r="O59" s="10"/>
      <c r="P59" s="8" t="s">
        <v>512</v>
      </c>
      <c r="Q59" s="8" t="s">
        <v>551</v>
      </c>
      <c r="R59" s="11"/>
      <c r="S59" s="11"/>
      <c r="T59" s="11">
        <v>485.4</v>
      </c>
      <c r="U59" s="11">
        <v>5</v>
      </c>
      <c r="V59" s="10" t="s">
        <v>552</v>
      </c>
      <c r="W59" s="10"/>
      <c r="X59" s="8" t="s">
        <v>515</v>
      </c>
      <c r="Y59" s="8"/>
      <c r="Z59" s="8"/>
      <c r="AA59" s="8"/>
      <c r="AB59" s="8"/>
      <c r="AC59" s="8" t="s">
        <v>515</v>
      </c>
      <c r="AD59" s="12"/>
      <c r="AE59" s="12"/>
      <c r="AF59" s="12"/>
      <c r="AG59" s="12"/>
      <c r="AH59" t="s">
        <v>515</v>
      </c>
      <c r="AP59" t="s">
        <v>515</v>
      </c>
    </row>
    <row r="60" spans="1:48" x14ac:dyDescent="0.35">
      <c r="A60">
        <v>10</v>
      </c>
      <c r="B60" s="8" t="s">
        <v>565</v>
      </c>
      <c r="C60" s="8"/>
      <c r="D60" s="8" t="s">
        <v>924</v>
      </c>
      <c r="E60" s="8" t="s">
        <v>468</v>
      </c>
      <c r="F60" s="19"/>
      <c r="G60" s="19"/>
      <c r="H60" s="8" t="s">
        <v>528</v>
      </c>
      <c r="I60" s="8" t="s">
        <v>1472</v>
      </c>
      <c r="J60" s="9">
        <v>4</v>
      </c>
      <c r="K60" s="8" t="s">
        <v>164</v>
      </c>
      <c r="L60" s="9">
        <v>4</v>
      </c>
      <c r="M60" s="8" t="s">
        <v>164</v>
      </c>
      <c r="N60" s="9">
        <v>4</v>
      </c>
      <c r="O60" s="10"/>
      <c r="P60" s="8" t="s">
        <v>512</v>
      </c>
      <c r="Q60" s="8" t="s">
        <v>566</v>
      </c>
      <c r="R60" s="11">
        <v>610</v>
      </c>
      <c r="S60" s="11">
        <v>30</v>
      </c>
      <c r="T60" s="11">
        <v>575</v>
      </c>
      <c r="U60" s="11">
        <v>2</v>
      </c>
      <c r="V60" s="10" t="s">
        <v>567</v>
      </c>
      <c r="W60" s="10"/>
      <c r="X60" s="8" t="s">
        <v>515</v>
      </c>
      <c r="Y60" s="8"/>
      <c r="Z60" s="8"/>
      <c r="AA60" s="8"/>
      <c r="AB60" s="8"/>
      <c r="AC60" s="8" t="s">
        <v>515</v>
      </c>
      <c r="AD60" s="12"/>
      <c r="AE60" s="12"/>
      <c r="AF60" s="12"/>
      <c r="AG60" s="12"/>
      <c r="AH60" t="s">
        <v>515</v>
      </c>
      <c r="AP60" t="s">
        <v>515</v>
      </c>
    </row>
    <row r="61" spans="1:48" x14ac:dyDescent="0.35">
      <c r="A61">
        <v>11</v>
      </c>
      <c r="B61" t="s">
        <v>568</v>
      </c>
      <c r="D61" s="8" t="s">
        <v>924</v>
      </c>
      <c r="E61" s="8" t="s">
        <v>464</v>
      </c>
      <c r="F61" s="19"/>
      <c r="G61" s="19"/>
      <c r="H61" s="8" t="s">
        <v>528</v>
      </c>
      <c r="I61" s="8" t="s">
        <v>569</v>
      </c>
      <c r="J61" s="4">
        <v>4</v>
      </c>
      <c r="K61" s="8" t="s">
        <v>164</v>
      </c>
      <c r="L61" s="4">
        <v>4</v>
      </c>
      <c r="M61" s="8" t="s">
        <v>164</v>
      </c>
      <c r="N61" s="4">
        <v>4</v>
      </c>
      <c r="O61" s="10"/>
      <c r="P61" t="s">
        <v>512</v>
      </c>
      <c r="Q61" t="s">
        <v>570</v>
      </c>
      <c r="R61" s="5">
        <v>660</v>
      </c>
      <c r="S61" s="5">
        <v>30</v>
      </c>
      <c r="T61" s="5">
        <v>610</v>
      </c>
      <c r="U61" s="5">
        <v>20</v>
      </c>
      <c r="V61" t="s">
        <v>571</v>
      </c>
      <c r="W61" s="10"/>
      <c r="X61" t="s">
        <v>512</v>
      </c>
      <c r="AB61" t="s">
        <v>572</v>
      </c>
      <c r="AC61" t="s">
        <v>515</v>
      </c>
      <c r="AH61" t="s">
        <v>515</v>
      </c>
      <c r="AP61" t="s">
        <v>515</v>
      </c>
    </row>
    <row r="62" spans="1:48" x14ac:dyDescent="0.35">
      <c r="A62">
        <v>13</v>
      </c>
      <c r="B62" t="s">
        <v>69</v>
      </c>
      <c r="D62" s="8" t="s">
        <v>924</v>
      </c>
      <c r="E62" s="8" t="s">
        <v>450</v>
      </c>
      <c r="F62" s="19"/>
      <c r="G62" s="19"/>
      <c r="H62" s="8" t="s">
        <v>528</v>
      </c>
      <c r="I62" s="8" t="s">
        <v>576</v>
      </c>
      <c r="J62" s="4">
        <v>4</v>
      </c>
      <c r="K62" s="8" t="s">
        <v>164</v>
      </c>
      <c r="L62" s="4">
        <v>4</v>
      </c>
      <c r="M62" s="8" t="s">
        <v>164</v>
      </c>
      <c r="N62" s="4">
        <v>4</v>
      </c>
      <c r="O62" s="10"/>
      <c r="P62" t="s">
        <v>512</v>
      </c>
      <c r="Q62" t="s">
        <v>577</v>
      </c>
      <c r="R62" s="5">
        <v>645</v>
      </c>
      <c r="S62" s="5">
        <v>15</v>
      </c>
      <c r="T62" s="5">
        <v>575</v>
      </c>
      <c r="U62" s="5">
        <v>3</v>
      </c>
      <c r="V62" t="s">
        <v>578</v>
      </c>
      <c r="W62" s="10"/>
      <c r="X62" t="s">
        <v>515</v>
      </c>
      <c r="AB62" t="s">
        <v>579</v>
      </c>
      <c r="AC62" t="s">
        <v>515</v>
      </c>
      <c r="AH62" t="s">
        <v>512</v>
      </c>
      <c r="AI62">
        <v>7</v>
      </c>
      <c r="AL62">
        <v>575</v>
      </c>
      <c r="AM62">
        <v>3</v>
      </c>
      <c r="AN62" t="s">
        <v>523</v>
      </c>
      <c r="AO62" t="s">
        <v>580</v>
      </c>
      <c r="AP62" t="s">
        <v>512</v>
      </c>
      <c r="AQ62">
        <v>24</v>
      </c>
      <c r="AR62" t="s">
        <v>538</v>
      </c>
      <c r="AS62" t="s">
        <v>555</v>
      </c>
      <c r="AV62" t="s">
        <v>581</v>
      </c>
    </row>
    <row r="63" spans="1:48" x14ac:dyDescent="0.35">
      <c r="A63">
        <v>23</v>
      </c>
      <c r="B63" s="8" t="s">
        <v>623</v>
      </c>
      <c r="C63" s="8"/>
      <c r="D63" s="8" t="s">
        <v>924</v>
      </c>
      <c r="E63" s="8" t="s">
        <v>450</v>
      </c>
      <c r="F63" s="19"/>
      <c r="G63" s="19"/>
      <c r="H63" s="8" t="s">
        <v>528</v>
      </c>
      <c r="I63" s="8" t="s">
        <v>624</v>
      </c>
      <c r="J63" s="9">
        <v>4</v>
      </c>
      <c r="K63" s="8" t="s">
        <v>164</v>
      </c>
      <c r="L63" s="9">
        <v>4</v>
      </c>
      <c r="M63" s="8" t="s">
        <v>164</v>
      </c>
      <c r="N63" s="9">
        <v>4</v>
      </c>
      <c r="O63" s="10"/>
      <c r="P63" s="8" t="s">
        <v>512</v>
      </c>
      <c r="Q63" s="8" t="s">
        <v>625</v>
      </c>
      <c r="R63" s="11"/>
      <c r="S63" s="11"/>
      <c r="T63" s="11">
        <v>485.4</v>
      </c>
      <c r="U63" s="11">
        <v>1.9</v>
      </c>
      <c r="V63" s="10" t="s">
        <v>626</v>
      </c>
      <c r="W63" s="10"/>
      <c r="X63" s="8" t="s">
        <v>515</v>
      </c>
      <c r="Y63" s="8"/>
      <c r="Z63" s="8"/>
      <c r="AA63" s="8"/>
      <c r="AB63" s="8"/>
      <c r="AC63" s="8" t="s">
        <v>515</v>
      </c>
      <c r="AD63" s="12"/>
      <c r="AE63" s="12"/>
      <c r="AF63" s="12"/>
      <c r="AG63" s="12"/>
      <c r="AH63" t="s">
        <v>515</v>
      </c>
      <c r="AP63" t="s">
        <v>515</v>
      </c>
    </row>
    <row r="64" spans="1:48" x14ac:dyDescent="0.35">
      <c r="A64">
        <v>25</v>
      </c>
      <c r="B64" t="s">
        <v>634</v>
      </c>
      <c r="C64" t="s">
        <v>635</v>
      </c>
      <c r="D64" s="8" t="s">
        <v>924</v>
      </c>
      <c r="E64" s="8" t="s">
        <v>460</v>
      </c>
      <c r="F64" s="19"/>
      <c r="G64" s="19"/>
      <c r="H64" s="8" t="s">
        <v>528</v>
      </c>
      <c r="I64" t="s">
        <v>636</v>
      </c>
      <c r="J64" s="9">
        <v>4</v>
      </c>
      <c r="K64" s="8" t="s">
        <v>164</v>
      </c>
      <c r="L64" s="9">
        <v>4</v>
      </c>
      <c r="M64" s="8" t="s">
        <v>164</v>
      </c>
      <c r="N64" s="9">
        <v>4</v>
      </c>
      <c r="O64" s="10"/>
      <c r="P64" s="8" t="s">
        <v>512</v>
      </c>
      <c r="Q64" s="8" t="s">
        <v>637</v>
      </c>
      <c r="R64" s="11">
        <v>635</v>
      </c>
      <c r="S64" s="11">
        <v>5</v>
      </c>
      <c r="T64" s="11">
        <v>509</v>
      </c>
      <c r="U64" s="11">
        <v>5</v>
      </c>
      <c r="V64" s="10" t="s">
        <v>638</v>
      </c>
      <c r="W64" s="10"/>
      <c r="X64" t="s">
        <v>515</v>
      </c>
      <c r="AC64" t="s">
        <v>512</v>
      </c>
      <c r="AD64" t="s">
        <v>521</v>
      </c>
      <c r="AE64">
        <v>555</v>
      </c>
      <c r="AF64">
        <v>549</v>
      </c>
      <c r="AG64" t="s">
        <v>522</v>
      </c>
      <c r="AH64" t="s">
        <v>512</v>
      </c>
      <c r="AI64">
        <v>32</v>
      </c>
      <c r="AJ64">
        <v>556</v>
      </c>
      <c r="AK64">
        <v>12</v>
      </c>
      <c r="AL64">
        <v>519</v>
      </c>
      <c r="AM64">
        <v>11</v>
      </c>
      <c r="AN64" t="s">
        <v>523</v>
      </c>
      <c r="AO64" t="s">
        <v>639</v>
      </c>
      <c r="AP64" t="s">
        <v>512</v>
      </c>
      <c r="AQ64">
        <v>32</v>
      </c>
      <c r="AR64" t="s">
        <v>640</v>
      </c>
      <c r="AS64" t="s">
        <v>521</v>
      </c>
      <c r="AT64">
        <v>562</v>
      </c>
      <c r="AU64">
        <v>551</v>
      </c>
      <c r="AV64" t="s">
        <v>641</v>
      </c>
    </row>
    <row r="65" spans="1:48" x14ac:dyDescent="0.35">
      <c r="A65">
        <v>41</v>
      </c>
      <c r="B65" t="s">
        <v>720</v>
      </c>
      <c r="D65" s="8" t="s">
        <v>924</v>
      </c>
      <c r="E65" s="8" t="s">
        <v>464</v>
      </c>
      <c r="F65" s="19"/>
      <c r="G65" s="19"/>
      <c r="H65" t="s">
        <v>528</v>
      </c>
      <c r="I65" t="s">
        <v>721</v>
      </c>
      <c r="J65" s="9">
        <v>3</v>
      </c>
      <c r="K65" s="8" t="s">
        <v>164</v>
      </c>
      <c r="L65" s="9">
        <v>3</v>
      </c>
      <c r="M65" s="8" t="s">
        <v>164</v>
      </c>
      <c r="N65" s="9">
        <v>3</v>
      </c>
      <c r="O65" s="10"/>
      <c r="P65" s="8" t="s">
        <v>512</v>
      </c>
      <c r="Q65" s="8" t="s">
        <v>722</v>
      </c>
      <c r="R65" s="11">
        <v>680</v>
      </c>
      <c r="S65" s="11">
        <v>60</v>
      </c>
      <c r="T65" s="11">
        <v>580</v>
      </c>
      <c r="U65" s="11">
        <v>0.01</v>
      </c>
      <c r="V65" s="10" t="s">
        <v>723</v>
      </c>
      <c r="W65" s="10"/>
      <c r="X65" t="s">
        <v>515</v>
      </c>
      <c r="AC65" t="s">
        <v>515</v>
      </c>
      <c r="AH65" t="s">
        <v>512</v>
      </c>
      <c r="AI65">
        <v>14</v>
      </c>
      <c r="AN65" t="s">
        <v>523</v>
      </c>
      <c r="AO65" t="s">
        <v>724</v>
      </c>
      <c r="AP65" t="s">
        <v>512</v>
      </c>
      <c r="AQ65">
        <v>5</v>
      </c>
      <c r="AR65" t="s">
        <v>538</v>
      </c>
      <c r="AS65" t="s">
        <v>555</v>
      </c>
      <c r="AV65" t="s">
        <v>581</v>
      </c>
    </row>
    <row r="66" spans="1:48" x14ac:dyDescent="0.35">
      <c r="A66">
        <v>42</v>
      </c>
      <c r="B66" s="8" t="s">
        <v>725</v>
      </c>
      <c r="C66" s="8"/>
      <c r="D66" s="8" t="s">
        <v>924</v>
      </c>
      <c r="E66" s="8" t="s">
        <v>450</v>
      </c>
      <c r="F66" s="19"/>
      <c r="G66" s="19"/>
      <c r="H66" s="8" t="s">
        <v>528</v>
      </c>
      <c r="I66" s="8" t="s">
        <v>550</v>
      </c>
      <c r="J66" s="9">
        <v>3</v>
      </c>
      <c r="K66" s="8" t="s">
        <v>164</v>
      </c>
      <c r="L66" s="9">
        <v>3</v>
      </c>
      <c r="M66" s="8" t="s">
        <v>164</v>
      </c>
      <c r="N66" s="9">
        <v>3</v>
      </c>
      <c r="O66" s="10"/>
      <c r="P66" s="8" t="s">
        <v>512</v>
      </c>
      <c r="Q66" s="8" t="s">
        <v>726</v>
      </c>
      <c r="R66" s="5">
        <v>1857</v>
      </c>
      <c r="S66" s="5">
        <v>5</v>
      </c>
      <c r="T66" s="5">
        <v>513</v>
      </c>
      <c r="U66" s="5">
        <v>12</v>
      </c>
      <c r="V66" s="10" t="s">
        <v>727</v>
      </c>
      <c r="W66" s="10"/>
      <c r="X66" s="8" t="s">
        <v>515</v>
      </c>
      <c r="Y66" s="8"/>
      <c r="Z66" s="8"/>
      <c r="AA66" s="8"/>
      <c r="AB66" s="8"/>
      <c r="AC66" s="8" t="s">
        <v>515</v>
      </c>
      <c r="AD66" s="12"/>
      <c r="AE66" s="12"/>
      <c r="AF66" s="12"/>
      <c r="AG66" s="12"/>
      <c r="AH66" s="8" t="s">
        <v>515</v>
      </c>
      <c r="AP66" s="8" t="s">
        <v>515</v>
      </c>
    </row>
    <row r="67" spans="1:48" x14ac:dyDescent="0.35">
      <c r="A67">
        <v>43</v>
      </c>
      <c r="B67" s="8" t="s">
        <v>728</v>
      </c>
      <c r="C67" s="8"/>
      <c r="D67" s="8" t="s">
        <v>924</v>
      </c>
      <c r="E67" s="8" t="s">
        <v>464</v>
      </c>
      <c r="F67" s="19"/>
      <c r="G67" s="19"/>
      <c r="H67" s="8" t="s">
        <v>528</v>
      </c>
      <c r="I67" s="8" t="s">
        <v>729</v>
      </c>
      <c r="J67" s="9">
        <v>4</v>
      </c>
      <c r="K67" s="8" t="s">
        <v>164</v>
      </c>
      <c r="L67" s="9">
        <v>4</v>
      </c>
      <c r="M67" s="8" t="s">
        <v>164</v>
      </c>
      <c r="N67" s="9">
        <v>4</v>
      </c>
      <c r="O67" s="10"/>
      <c r="P67" s="8" t="s">
        <v>512</v>
      </c>
      <c r="Q67" s="8" t="s">
        <v>730</v>
      </c>
      <c r="R67" s="11"/>
      <c r="S67" s="11"/>
      <c r="T67" s="11">
        <v>497</v>
      </c>
      <c r="U67" s="11">
        <v>5</v>
      </c>
      <c r="V67" s="10" t="s">
        <v>731</v>
      </c>
      <c r="W67" s="10"/>
      <c r="X67" s="8" t="s">
        <v>515</v>
      </c>
      <c r="Y67" s="8"/>
      <c r="Z67" s="8"/>
      <c r="AA67" s="8"/>
      <c r="AB67" s="8"/>
      <c r="AC67" s="8" t="s">
        <v>515</v>
      </c>
      <c r="AD67" s="12"/>
      <c r="AE67" s="12"/>
      <c r="AF67" s="12"/>
      <c r="AG67" s="12"/>
      <c r="AH67" t="s">
        <v>515</v>
      </c>
      <c r="AP67" t="s">
        <v>515</v>
      </c>
    </row>
    <row r="68" spans="1:48" x14ac:dyDescent="0.35">
      <c r="A68">
        <v>45</v>
      </c>
      <c r="B68" t="s">
        <v>737</v>
      </c>
      <c r="D68" s="8" t="s">
        <v>924</v>
      </c>
      <c r="E68" s="8" t="s">
        <v>464</v>
      </c>
      <c r="F68" s="19"/>
      <c r="G68" s="19"/>
      <c r="H68" t="s">
        <v>528</v>
      </c>
      <c r="I68" t="s">
        <v>738</v>
      </c>
      <c r="J68" s="4">
        <v>2</v>
      </c>
      <c r="K68" s="8" t="s">
        <v>164</v>
      </c>
      <c r="L68" s="4">
        <v>2</v>
      </c>
      <c r="M68" s="8" t="s">
        <v>164</v>
      </c>
      <c r="N68" s="4">
        <v>2</v>
      </c>
      <c r="O68" s="10"/>
      <c r="P68" s="8" t="s">
        <v>512</v>
      </c>
      <c r="Q68" s="8" t="s">
        <v>739</v>
      </c>
      <c r="R68" s="9"/>
      <c r="S68" s="11"/>
      <c r="T68" s="11">
        <v>665</v>
      </c>
      <c r="U68" s="11">
        <v>10</v>
      </c>
      <c r="V68" s="10" t="s">
        <v>740</v>
      </c>
      <c r="W68" s="10"/>
      <c r="X68" t="s">
        <v>512</v>
      </c>
      <c r="Y68" t="s">
        <v>741</v>
      </c>
      <c r="AA68">
        <v>596</v>
      </c>
      <c r="AB68" t="s">
        <v>742</v>
      </c>
      <c r="AC68" t="s">
        <v>515</v>
      </c>
      <c r="AH68" t="s">
        <v>515</v>
      </c>
      <c r="AP68" t="s">
        <v>515</v>
      </c>
    </row>
    <row r="69" spans="1:48" x14ac:dyDescent="0.35">
      <c r="A69">
        <v>46</v>
      </c>
      <c r="B69" s="8" t="s">
        <v>743</v>
      </c>
      <c r="C69" s="8"/>
      <c r="D69" s="8" t="s">
        <v>924</v>
      </c>
      <c r="E69" s="8" t="s">
        <v>450</v>
      </c>
      <c r="F69" s="19"/>
      <c r="G69" s="19"/>
      <c r="H69" s="8" t="s">
        <v>528</v>
      </c>
      <c r="I69" s="8" t="s">
        <v>550</v>
      </c>
      <c r="J69" s="9">
        <v>3</v>
      </c>
      <c r="K69" s="8" t="s">
        <v>164</v>
      </c>
      <c r="L69" s="9">
        <v>3</v>
      </c>
      <c r="M69" s="8" t="s">
        <v>164</v>
      </c>
      <c r="N69" s="9">
        <v>3</v>
      </c>
      <c r="O69" s="10"/>
      <c r="P69" s="8" t="s">
        <v>512</v>
      </c>
      <c r="Q69" s="8" t="s">
        <v>744</v>
      </c>
      <c r="R69" s="11"/>
      <c r="S69" s="11"/>
      <c r="T69" s="11">
        <v>509</v>
      </c>
      <c r="U69" s="11">
        <v>5</v>
      </c>
      <c r="V69" s="10" t="s">
        <v>745</v>
      </c>
      <c r="W69" s="10"/>
      <c r="X69" s="8" t="s">
        <v>515</v>
      </c>
      <c r="Y69" s="8"/>
      <c r="Z69" s="8"/>
      <c r="AA69" s="8"/>
      <c r="AB69" s="8"/>
      <c r="AC69" s="8" t="s">
        <v>515</v>
      </c>
      <c r="AD69" s="12"/>
      <c r="AE69" s="12"/>
      <c r="AF69" s="12"/>
      <c r="AG69" s="12"/>
      <c r="AH69" t="s">
        <v>515</v>
      </c>
      <c r="AP69" t="s">
        <v>515</v>
      </c>
    </row>
    <row r="70" spans="1:48" x14ac:dyDescent="0.35">
      <c r="A70">
        <v>51</v>
      </c>
      <c r="B70" t="s">
        <v>764</v>
      </c>
      <c r="D70" s="8" t="s">
        <v>924</v>
      </c>
      <c r="E70" s="8" t="s">
        <v>465</v>
      </c>
      <c r="F70" s="19"/>
      <c r="G70" s="19"/>
      <c r="H70" t="s">
        <v>528</v>
      </c>
      <c r="I70" s="8"/>
      <c r="J70" s="9">
        <v>5</v>
      </c>
      <c r="K70" s="8" t="s">
        <v>164</v>
      </c>
      <c r="L70" s="9">
        <v>5</v>
      </c>
      <c r="M70" s="8" t="s">
        <v>164</v>
      </c>
      <c r="N70" s="9">
        <v>5</v>
      </c>
      <c r="O70" s="10"/>
      <c r="P70" s="8" t="s">
        <v>512</v>
      </c>
      <c r="Q70" s="8" t="s">
        <v>765</v>
      </c>
      <c r="R70" s="11">
        <v>696</v>
      </c>
      <c r="S70" s="11">
        <v>8.5</v>
      </c>
      <c r="T70" s="11">
        <v>509</v>
      </c>
      <c r="U70" s="11">
        <v>5</v>
      </c>
      <c r="V70" s="10" t="s">
        <v>766</v>
      </c>
      <c r="W70" s="10"/>
      <c r="X70" t="s">
        <v>515</v>
      </c>
      <c r="AC70" t="s">
        <v>515</v>
      </c>
      <c r="AH70" t="s">
        <v>515</v>
      </c>
      <c r="AP70" t="s">
        <v>512</v>
      </c>
      <c r="AQ70">
        <v>9</v>
      </c>
      <c r="AR70" t="s">
        <v>677</v>
      </c>
      <c r="AS70" t="s">
        <v>555</v>
      </c>
      <c r="AV70" t="s">
        <v>581</v>
      </c>
    </row>
    <row r="71" spans="1:48" x14ac:dyDescent="0.35">
      <c r="A71">
        <v>52</v>
      </c>
      <c r="B71" t="s">
        <v>767</v>
      </c>
      <c r="D71" s="8" t="s">
        <v>924</v>
      </c>
      <c r="E71" s="8" t="s">
        <v>453</v>
      </c>
      <c r="F71" s="19"/>
      <c r="G71" s="19"/>
      <c r="H71" t="s">
        <v>528</v>
      </c>
      <c r="I71" s="8" t="s">
        <v>768</v>
      </c>
      <c r="J71" s="4">
        <v>4</v>
      </c>
      <c r="K71" s="8" t="s">
        <v>164</v>
      </c>
      <c r="L71" s="4">
        <v>4</v>
      </c>
      <c r="M71" s="8" t="s">
        <v>164</v>
      </c>
      <c r="N71" s="4">
        <v>4</v>
      </c>
      <c r="O71" s="10"/>
      <c r="P71" s="8" t="s">
        <v>512</v>
      </c>
      <c r="Q71" t="s">
        <v>769</v>
      </c>
      <c r="R71" s="5">
        <v>715</v>
      </c>
      <c r="S71" s="5">
        <v>15</v>
      </c>
      <c r="T71" s="5">
        <v>570</v>
      </c>
      <c r="U71" s="5">
        <v>0.01</v>
      </c>
      <c r="V71" t="s">
        <v>770</v>
      </c>
      <c r="W71" s="10"/>
      <c r="X71" t="s">
        <v>515</v>
      </c>
      <c r="AC71" t="s">
        <v>515</v>
      </c>
      <c r="AG71" t="s">
        <v>771</v>
      </c>
      <c r="AH71" t="s">
        <v>515</v>
      </c>
      <c r="AP71" t="s">
        <v>515</v>
      </c>
    </row>
    <row r="72" spans="1:48" x14ac:dyDescent="0.35">
      <c r="A72">
        <v>56</v>
      </c>
      <c r="B72" s="8" t="s">
        <v>785</v>
      </c>
      <c r="C72" s="8"/>
      <c r="D72" s="8" t="s">
        <v>924</v>
      </c>
      <c r="E72" s="8" t="s">
        <v>450</v>
      </c>
      <c r="F72" s="19"/>
      <c r="G72" s="19"/>
      <c r="H72" s="8" t="s">
        <v>528</v>
      </c>
      <c r="I72" s="8" t="s">
        <v>550</v>
      </c>
      <c r="J72" s="9">
        <v>4</v>
      </c>
      <c r="K72" s="8" t="s">
        <v>164</v>
      </c>
      <c r="L72" s="9">
        <v>4</v>
      </c>
      <c r="M72" s="8" t="s">
        <v>164</v>
      </c>
      <c r="N72" s="9">
        <v>4</v>
      </c>
      <c r="O72" s="10"/>
      <c r="P72" s="8" t="s">
        <v>512</v>
      </c>
      <c r="Q72" s="8" t="s">
        <v>786</v>
      </c>
      <c r="R72" s="11"/>
      <c r="S72" s="11"/>
      <c r="T72" s="11">
        <v>485.4</v>
      </c>
      <c r="U72" s="11">
        <v>5</v>
      </c>
      <c r="V72" s="10" t="s">
        <v>787</v>
      </c>
      <c r="W72" s="10"/>
      <c r="X72" s="8" t="s">
        <v>515</v>
      </c>
      <c r="Y72" s="8"/>
      <c r="Z72" s="8"/>
      <c r="AA72" s="8"/>
      <c r="AB72" s="8"/>
      <c r="AC72" s="8" t="s">
        <v>515</v>
      </c>
      <c r="AD72" s="12"/>
      <c r="AE72" s="12"/>
      <c r="AF72" s="12"/>
      <c r="AG72" s="12"/>
      <c r="AH72" t="s">
        <v>515</v>
      </c>
      <c r="AP72" t="s">
        <v>515</v>
      </c>
    </row>
    <row r="73" spans="1:48" x14ac:dyDescent="0.35">
      <c r="A73">
        <v>59</v>
      </c>
      <c r="B73" s="8" t="s">
        <v>798</v>
      </c>
      <c r="C73" s="8"/>
      <c r="D73" s="8" t="s">
        <v>924</v>
      </c>
      <c r="E73" s="8" t="s">
        <v>450</v>
      </c>
      <c r="F73" s="19"/>
      <c r="G73" s="19"/>
      <c r="H73" s="8" t="s">
        <v>528</v>
      </c>
      <c r="I73" s="8" t="s">
        <v>799</v>
      </c>
      <c r="J73" s="9">
        <v>4</v>
      </c>
      <c r="K73" s="8" t="s">
        <v>164</v>
      </c>
      <c r="L73" s="9">
        <v>4</v>
      </c>
      <c r="M73" s="8" t="s">
        <v>164</v>
      </c>
      <c r="N73" s="9">
        <v>4</v>
      </c>
      <c r="O73" s="10"/>
      <c r="P73" s="8" t="s">
        <v>512</v>
      </c>
      <c r="Q73" s="8" t="s">
        <v>800</v>
      </c>
      <c r="R73" s="11"/>
      <c r="S73" s="11"/>
      <c r="T73" s="11">
        <v>485.4</v>
      </c>
      <c r="U73" s="11">
        <v>5</v>
      </c>
      <c r="V73" s="10" t="s">
        <v>801</v>
      </c>
      <c r="W73" s="10"/>
      <c r="X73" s="8" t="s">
        <v>515</v>
      </c>
      <c r="Y73" s="8"/>
      <c r="Z73" s="8"/>
      <c r="AA73" s="8"/>
      <c r="AB73" s="8"/>
      <c r="AC73" s="8" t="s">
        <v>515</v>
      </c>
      <c r="AD73" s="12"/>
      <c r="AE73" s="12"/>
      <c r="AF73" s="12"/>
      <c r="AG73" s="12"/>
      <c r="AH73" t="s">
        <v>515</v>
      </c>
      <c r="AP73" t="s">
        <v>515</v>
      </c>
    </row>
    <row r="74" spans="1:48" x14ac:dyDescent="0.35">
      <c r="A74">
        <v>60</v>
      </c>
      <c r="B74" t="s">
        <v>802</v>
      </c>
      <c r="D74" s="8" t="s">
        <v>924</v>
      </c>
      <c r="E74" s="8" t="s">
        <v>468</v>
      </c>
      <c r="F74" s="19"/>
      <c r="G74" s="19"/>
      <c r="H74" s="8" t="s">
        <v>528</v>
      </c>
      <c r="I74" s="8" t="s">
        <v>1471</v>
      </c>
      <c r="J74" s="9">
        <v>4</v>
      </c>
      <c r="K74" s="8" t="s">
        <v>164</v>
      </c>
      <c r="L74" s="9">
        <v>4</v>
      </c>
      <c r="M74" s="8" t="s">
        <v>164</v>
      </c>
      <c r="N74" s="9">
        <v>4</v>
      </c>
      <c r="O74" s="10"/>
      <c r="P74" s="8" t="s">
        <v>512</v>
      </c>
      <c r="Q74" s="8" t="s">
        <v>803</v>
      </c>
      <c r="R74" s="11">
        <v>728</v>
      </c>
      <c r="S74" s="11">
        <v>32</v>
      </c>
      <c r="T74" s="11">
        <v>555</v>
      </c>
      <c r="U74" s="11">
        <v>28</v>
      </c>
      <c r="V74" s="10" t="s">
        <v>804</v>
      </c>
      <c r="W74" s="10"/>
      <c r="X74" t="s">
        <v>515</v>
      </c>
      <c r="Y74" s="8"/>
      <c r="Z74" s="8"/>
      <c r="AA74" s="8"/>
      <c r="AB74" s="8"/>
      <c r="AC74" t="s">
        <v>515</v>
      </c>
      <c r="AD74" s="12"/>
      <c r="AE74" s="12"/>
      <c r="AF74" s="12"/>
      <c r="AG74" s="12"/>
      <c r="AH74" t="s">
        <v>512</v>
      </c>
      <c r="AI74">
        <v>19</v>
      </c>
      <c r="AL74">
        <v>555</v>
      </c>
      <c r="AM74">
        <v>28</v>
      </c>
      <c r="AN74" t="s">
        <v>523</v>
      </c>
      <c r="AO74" t="s">
        <v>805</v>
      </c>
      <c r="AP74" t="s">
        <v>515</v>
      </c>
    </row>
    <row r="75" spans="1:48" x14ac:dyDescent="0.35">
      <c r="A75">
        <v>61</v>
      </c>
      <c r="B75" s="8" t="s">
        <v>806</v>
      </c>
      <c r="C75" s="8"/>
      <c r="D75" s="8" t="s">
        <v>924</v>
      </c>
      <c r="E75" s="8" t="s">
        <v>450</v>
      </c>
      <c r="F75" s="19"/>
      <c r="G75" s="19"/>
      <c r="H75" s="8" t="s">
        <v>528</v>
      </c>
      <c r="I75" s="8" t="s">
        <v>807</v>
      </c>
      <c r="J75" s="9">
        <v>3</v>
      </c>
      <c r="K75" s="8" t="s">
        <v>164</v>
      </c>
      <c r="L75" s="9">
        <v>3</v>
      </c>
      <c r="M75" s="8" t="s">
        <v>164</v>
      </c>
      <c r="N75" s="9">
        <v>3</v>
      </c>
      <c r="O75" s="10"/>
      <c r="P75" s="8" t="s">
        <v>512</v>
      </c>
      <c r="Q75" s="8" t="s">
        <v>808</v>
      </c>
      <c r="R75" s="11"/>
      <c r="S75" s="11"/>
      <c r="T75" s="11">
        <v>485.4</v>
      </c>
      <c r="U75" s="11">
        <v>5</v>
      </c>
      <c r="V75" s="10" t="s">
        <v>783</v>
      </c>
      <c r="W75" s="10"/>
      <c r="X75" s="8" t="s">
        <v>515</v>
      </c>
      <c r="Y75" s="8"/>
      <c r="Z75" s="8"/>
      <c r="AA75" s="8"/>
      <c r="AB75" s="8"/>
      <c r="AC75" s="8" t="s">
        <v>515</v>
      </c>
      <c r="AD75" s="12"/>
      <c r="AE75" s="12"/>
      <c r="AF75" s="12"/>
      <c r="AG75" s="12"/>
      <c r="AH75" t="s">
        <v>515</v>
      </c>
      <c r="AP75" t="s">
        <v>515</v>
      </c>
    </row>
    <row r="76" spans="1:48" x14ac:dyDescent="0.35">
      <c r="A76">
        <v>67</v>
      </c>
      <c r="B76" t="s">
        <v>831</v>
      </c>
      <c r="C76" t="s">
        <v>832</v>
      </c>
      <c r="D76" s="8" t="s">
        <v>924</v>
      </c>
      <c r="E76" s="8" t="s">
        <v>453</v>
      </c>
      <c r="F76" s="19"/>
      <c r="G76" s="19"/>
      <c r="H76" t="s">
        <v>528</v>
      </c>
      <c r="I76" s="8" t="s">
        <v>768</v>
      </c>
      <c r="J76" s="9">
        <v>3</v>
      </c>
      <c r="K76" s="8" t="s">
        <v>164</v>
      </c>
      <c r="L76" s="9">
        <v>3</v>
      </c>
      <c r="M76" s="8" t="s">
        <v>164</v>
      </c>
      <c r="N76" s="9">
        <v>3</v>
      </c>
      <c r="O76" s="10"/>
      <c r="P76" s="8" t="s">
        <v>512</v>
      </c>
      <c r="Q76" s="8" t="s">
        <v>833</v>
      </c>
      <c r="R76" s="11">
        <v>730</v>
      </c>
      <c r="S76" s="11">
        <v>0.01</v>
      </c>
      <c r="T76" s="11">
        <v>542</v>
      </c>
      <c r="U76" s="11">
        <v>0.01</v>
      </c>
      <c r="V76" s="10" t="s">
        <v>834</v>
      </c>
      <c r="W76" s="10"/>
      <c r="X76" t="s">
        <v>515</v>
      </c>
      <c r="AC76" t="s">
        <v>512</v>
      </c>
      <c r="AD76" t="s">
        <v>611</v>
      </c>
      <c r="AE76">
        <v>572</v>
      </c>
      <c r="AF76">
        <v>570</v>
      </c>
      <c r="AG76" t="s">
        <v>631</v>
      </c>
      <c r="AH76" t="s">
        <v>515</v>
      </c>
      <c r="AP76" t="s">
        <v>515</v>
      </c>
    </row>
    <row r="77" spans="1:48" x14ac:dyDescent="0.35">
      <c r="A77">
        <v>74</v>
      </c>
      <c r="B77" s="8" t="s">
        <v>859</v>
      </c>
      <c r="C77" s="8"/>
      <c r="D77" s="8" t="s">
        <v>924</v>
      </c>
      <c r="E77" s="8" t="s">
        <v>453</v>
      </c>
      <c r="F77" s="19"/>
      <c r="G77" s="19"/>
      <c r="H77" s="8" t="s">
        <v>528</v>
      </c>
      <c r="I77" s="8" t="s">
        <v>860</v>
      </c>
      <c r="J77" s="9">
        <v>4</v>
      </c>
      <c r="K77" s="8" t="s">
        <v>164</v>
      </c>
      <c r="L77" s="9">
        <v>4</v>
      </c>
      <c r="M77" s="8" t="s">
        <v>164</v>
      </c>
      <c r="N77" s="9">
        <v>4</v>
      </c>
      <c r="O77" s="10"/>
      <c r="P77" s="8" t="s">
        <v>512</v>
      </c>
      <c r="Q77" s="8" t="s">
        <v>861</v>
      </c>
      <c r="R77" s="11"/>
      <c r="S77" s="11"/>
      <c r="T77" s="11">
        <v>485.4</v>
      </c>
      <c r="U77" s="11">
        <v>1.9</v>
      </c>
      <c r="V77" s="10" t="s">
        <v>862</v>
      </c>
      <c r="W77" s="10"/>
      <c r="X77" s="8" t="s">
        <v>515</v>
      </c>
      <c r="Y77" s="8"/>
      <c r="Z77" s="8"/>
      <c r="AA77" s="8"/>
      <c r="AB77" s="8"/>
      <c r="AC77" s="8" t="s">
        <v>515</v>
      </c>
      <c r="AD77" s="12"/>
      <c r="AE77" s="12"/>
      <c r="AF77" s="12"/>
      <c r="AG77" s="12"/>
      <c r="AH77" t="s">
        <v>515</v>
      </c>
      <c r="AP77" t="s">
        <v>515</v>
      </c>
    </row>
    <row r="78" spans="1:48" x14ac:dyDescent="0.35">
      <c r="A78">
        <v>80</v>
      </c>
      <c r="B78" s="8" t="s">
        <v>881</v>
      </c>
      <c r="C78" s="8"/>
      <c r="D78" s="8" t="s">
        <v>924</v>
      </c>
      <c r="E78" s="8" t="s">
        <v>453</v>
      </c>
      <c r="F78" s="19"/>
      <c r="G78" s="19"/>
      <c r="H78" s="8" t="s">
        <v>528</v>
      </c>
      <c r="I78" s="8" t="s">
        <v>860</v>
      </c>
      <c r="J78" s="9">
        <v>3</v>
      </c>
      <c r="K78" s="8" t="s">
        <v>164</v>
      </c>
      <c r="L78" s="9">
        <v>3</v>
      </c>
      <c r="M78" s="8" t="s">
        <v>164</v>
      </c>
      <c r="N78" s="9">
        <v>3</v>
      </c>
      <c r="O78" s="10"/>
      <c r="P78" s="8" t="s">
        <v>512</v>
      </c>
      <c r="Q78" s="8" t="s">
        <v>882</v>
      </c>
      <c r="R78" s="11"/>
      <c r="S78" s="11"/>
      <c r="T78" s="11">
        <v>485.4</v>
      </c>
      <c r="U78" s="11">
        <v>1.9</v>
      </c>
      <c r="V78" s="10" t="s">
        <v>883</v>
      </c>
      <c r="W78" s="10"/>
      <c r="X78" s="8" t="s">
        <v>515</v>
      </c>
      <c r="Y78" s="8"/>
      <c r="Z78" s="8"/>
      <c r="AA78" s="8"/>
      <c r="AB78" s="8"/>
      <c r="AC78" s="8" t="s">
        <v>515</v>
      </c>
      <c r="AD78" s="12"/>
      <c r="AE78" s="12"/>
      <c r="AF78" s="12"/>
      <c r="AG78" s="12"/>
      <c r="AH78" t="s">
        <v>515</v>
      </c>
      <c r="AP78" t="s">
        <v>515</v>
      </c>
    </row>
    <row r="79" spans="1:48" x14ac:dyDescent="0.35">
      <c r="A79">
        <v>83</v>
      </c>
      <c r="B79" s="8" t="s">
        <v>894</v>
      </c>
      <c r="C79" s="8" t="s">
        <v>895</v>
      </c>
      <c r="D79" s="8" t="s">
        <v>924</v>
      </c>
      <c r="E79" s="8" t="s">
        <v>896</v>
      </c>
      <c r="F79" s="19"/>
      <c r="G79" s="19"/>
      <c r="H79" s="8" t="s">
        <v>528</v>
      </c>
      <c r="I79" s="8" t="s">
        <v>897</v>
      </c>
      <c r="J79" s="9">
        <v>3</v>
      </c>
      <c r="K79" s="8" t="s">
        <v>164</v>
      </c>
      <c r="L79" s="9">
        <v>3</v>
      </c>
      <c r="M79" s="8" t="s">
        <v>164</v>
      </c>
      <c r="N79" s="9">
        <v>3</v>
      </c>
      <c r="O79" s="10"/>
      <c r="P79" s="8" t="s">
        <v>512</v>
      </c>
      <c r="Q79" s="8" t="s">
        <v>898</v>
      </c>
      <c r="R79" s="11"/>
      <c r="S79" s="11"/>
      <c r="T79" s="11">
        <v>550</v>
      </c>
      <c r="U79" s="11">
        <v>50</v>
      </c>
      <c r="V79" s="10" t="s">
        <v>735</v>
      </c>
      <c r="W79" s="10"/>
      <c r="X79" s="8" t="s">
        <v>515</v>
      </c>
      <c r="Y79" s="8"/>
      <c r="Z79" s="8"/>
      <c r="AA79" s="8"/>
      <c r="AB79" s="8"/>
      <c r="AC79" s="8" t="s">
        <v>515</v>
      </c>
      <c r="AD79" s="12"/>
      <c r="AE79" s="12"/>
      <c r="AF79" s="12"/>
      <c r="AG79" s="12"/>
      <c r="AH79" t="s">
        <v>515</v>
      </c>
      <c r="AP79" t="s">
        <v>515</v>
      </c>
    </row>
    <row r="80" spans="1:48" x14ac:dyDescent="0.35">
      <c r="A80">
        <v>86</v>
      </c>
      <c r="B80" s="8" t="s">
        <v>901</v>
      </c>
      <c r="C80" s="8"/>
      <c r="D80" s="8" t="s">
        <v>924</v>
      </c>
      <c r="E80" s="8" t="s">
        <v>450</v>
      </c>
      <c r="F80" s="19"/>
      <c r="G80" s="19"/>
      <c r="H80" s="8" t="s">
        <v>528</v>
      </c>
      <c r="I80" s="8" t="s">
        <v>550</v>
      </c>
      <c r="J80" s="9">
        <v>4</v>
      </c>
      <c r="K80" s="8" t="s">
        <v>164</v>
      </c>
      <c r="L80" s="9">
        <v>4</v>
      </c>
      <c r="M80" s="8" t="s">
        <v>164</v>
      </c>
      <c r="N80" s="9">
        <v>4</v>
      </c>
      <c r="O80" s="10"/>
      <c r="P80" s="8" t="s">
        <v>512</v>
      </c>
      <c r="Q80" s="8" t="s">
        <v>902</v>
      </c>
      <c r="R80" s="11"/>
      <c r="S80" s="11"/>
      <c r="T80" s="11">
        <v>485.4</v>
      </c>
      <c r="U80" s="11">
        <v>5</v>
      </c>
      <c r="V80" s="10" t="s">
        <v>903</v>
      </c>
      <c r="W80" s="10"/>
      <c r="X80" s="8" t="s">
        <v>515</v>
      </c>
      <c r="Y80" s="8"/>
      <c r="Z80" s="8"/>
      <c r="AA80" s="8"/>
      <c r="AB80" s="8"/>
      <c r="AC80" s="8" t="s">
        <v>515</v>
      </c>
      <c r="AD80" s="12"/>
      <c r="AE80" s="12"/>
      <c r="AF80" s="12"/>
      <c r="AG80" s="12"/>
      <c r="AH80" t="s">
        <v>515</v>
      </c>
      <c r="AP80" t="s">
        <v>515</v>
      </c>
    </row>
    <row r="81" spans="1:48" x14ac:dyDescent="0.35">
      <c r="A81">
        <v>12</v>
      </c>
      <c r="B81" t="s">
        <v>51</v>
      </c>
      <c r="C81" t="s">
        <v>573</v>
      </c>
      <c r="D81" s="8" t="s">
        <v>924</v>
      </c>
      <c r="E81" s="8" t="s">
        <v>461</v>
      </c>
      <c r="F81" s="19"/>
      <c r="G81" s="19"/>
      <c r="H81" s="8" t="s">
        <v>982</v>
      </c>
      <c r="I81" s="8" t="s">
        <v>1499</v>
      </c>
      <c r="J81" s="4">
        <v>1</v>
      </c>
      <c r="K81" s="10" t="s">
        <v>1573</v>
      </c>
      <c r="L81" s="4">
        <v>1</v>
      </c>
      <c r="M81" t="s">
        <v>1432</v>
      </c>
      <c r="N81" s="4"/>
      <c r="O81" t="s">
        <v>1427</v>
      </c>
      <c r="P81" t="s">
        <v>515</v>
      </c>
      <c r="R81" s="5"/>
      <c r="S81" s="5"/>
      <c r="T81" s="5"/>
      <c r="U81" s="5"/>
      <c r="W81" s="10"/>
      <c r="X81" t="s">
        <v>515</v>
      </c>
      <c r="AC81" t="s">
        <v>515</v>
      </c>
      <c r="AH81" t="s">
        <v>512</v>
      </c>
      <c r="AI81">
        <v>16</v>
      </c>
      <c r="AJ81">
        <v>565</v>
      </c>
      <c r="AL81">
        <v>540</v>
      </c>
      <c r="AN81" t="s">
        <v>523</v>
      </c>
      <c r="AO81" t="s">
        <v>574</v>
      </c>
      <c r="AP81" t="s">
        <v>512</v>
      </c>
      <c r="AQ81">
        <v>28</v>
      </c>
      <c r="AR81" t="s">
        <v>525</v>
      </c>
      <c r="AS81" t="s">
        <v>315</v>
      </c>
      <c r="AT81">
        <v>565</v>
      </c>
      <c r="AU81">
        <v>560</v>
      </c>
      <c r="AV81" t="s">
        <v>575</v>
      </c>
    </row>
    <row r="82" spans="1:48" x14ac:dyDescent="0.35">
      <c r="A82">
        <v>58</v>
      </c>
      <c r="B82" t="s">
        <v>792</v>
      </c>
      <c r="C82" t="s">
        <v>793</v>
      </c>
      <c r="D82" s="8" t="s">
        <v>924</v>
      </c>
      <c r="E82" s="8" t="s">
        <v>461</v>
      </c>
      <c r="F82" s="19"/>
      <c r="G82" s="19"/>
      <c r="H82" t="s">
        <v>982</v>
      </c>
      <c r="I82" t="s">
        <v>1419</v>
      </c>
      <c r="J82" s="4">
        <v>2</v>
      </c>
      <c r="K82" s="10" t="s">
        <v>1573</v>
      </c>
      <c r="L82" s="4">
        <v>2</v>
      </c>
      <c r="M82" s="10" t="s">
        <v>1428</v>
      </c>
      <c r="N82" s="4">
        <v>3</v>
      </c>
      <c r="O82" s="10" t="s">
        <v>1429</v>
      </c>
      <c r="P82" t="s">
        <v>512</v>
      </c>
      <c r="Q82" t="s">
        <v>794</v>
      </c>
      <c r="R82" s="5">
        <v>562</v>
      </c>
      <c r="S82" s="5">
        <v>5</v>
      </c>
      <c r="T82" s="5">
        <v>538</v>
      </c>
      <c r="U82" s="5">
        <v>2</v>
      </c>
      <c r="V82" t="s">
        <v>795</v>
      </c>
      <c r="W82" s="10"/>
      <c r="X82" t="s">
        <v>512</v>
      </c>
      <c r="Y82" t="s">
        <v>796</v>
      </c>
      <c r="Z82">
        <v>569</v>
      </c>
      <c r="AA82">
        <v>560</v>
      </c>
      <c r="AB82" t="s">
        <v>797</v>
      </c>
      <c r="AC82" t="s">
        <v>512</v>
      </c>
      <c r="AD82" t="s">
        <v>315</v>
      </c>
      <c r="AE82">
        <v>566</v>
      </c>
      <c r="AF82">
        <v>564</v>
      </c>
      <c r="AG82" t="s">
        <v>536</v>
      </c>
      <c r="AH82" t="s">
        <v>512</v>
      </c>
      <c r="AI82">
        <v>16</v>
      </c>
      <c r="AJ82">
        <v>565</v>
      </c>
      <c r="AL82">
        <v>540</v>
      </c>
      <c r="AN82" t="s">
        <v>523</v>
      </c>
      <c r="AO82" t="s">
        <v>574</v>
      </c>
      <c r="AP82" t="s">
        <v>512</v>
      </c>
      <c r="AQ82">
        <v>28</v>
      </c>
      <c r="AR82" t="s">
        <v>525</v>
      </c>
      <c r="AS82" t="s">
        <v>315</v>
      </c>
      <c r="AT82">
        <v>565</v>
      </c>
      <c r="AU82">
        <v>560</v>
      </c>
      <c r="AV82" t="s">
        <v>575</v>
      </c>
    </row>
    <row r="83" spans="1:48" x14ac:dyDescent="0.35">
      <c r="A83">
        <v>17</v>
      </c>
      <c r="B83" t="s">
        <v>599</v>
      </c>
      <c r="D83" s="8" t="s">
        <v>924</v>
      </c>
      <c r="E83" s="8" t="s">
        <v>449</v>
      </c>
      <c r="F83" s="19"/>
      <c r="G83" s="19"/>
      <c r="H83" s="8"/>
      <c r="I83" t="s">
        <v>601</v>
      </c>
      <c r="J83" s="4"/>
      <c r="K83" s="13" t="s">
        <v>1434</v>
      </c>
      <c r="L83" s="4">
        <v>0</v>
      </c>
      <c r="M83" s="13" t="s">
        <v>600</v>
      </c>
      <c r="N83" s="4"/>
      <c r="O83" t="s">
        <v>1420</v>
      </c>
      <c r="P83" t="s">
        <v>515</v>
      </c>
      <c r="R83" s="5"/>
      <c r="S83" s="5"/>
      <c r="T83" s="5"/>
      <c r="U83" s="5"/>
      <c r="V83" s="10"/>
      <c r="W83" s="10"/>
      <c r="X83" t="s">
        <v>515</v>
      </c>
      <c r="Y83" s="8"/>
      <c r="Z83" s="8"/>
      <c r="AA83" s="8"/>
      <c r="AB83" s="8"/>
      <c r="AC83" t="s">
        <v>512</v>
      </c>
      <c r="AD83" s="8" t="s">
        <v>602</v>
      </c>
      <c r="AE83" s="8"/>
      <c r="AF83" s="8"/>
      <c r="AG83" s="8"/>
      <c r="AH83" t="s">
        <v>515</v>
      </c>
      <c r="AP83" t="s">
        <v>515</v>
      </c>
    </row>
    <row r="84" spans="1:48" x14ac:dyDescent="0.35">
      <c r="A84">
        <v>19</v>
      </c>
      <c r="B84" t="s">
        <v>604</v>
      </c>
      <c r="D84" s="8" t="s">
        <v>924</v>
      </c>
      <c r="E84" s="8" t="s">
        <v>450</v>
      </c>
      <c r="F84" s="19"/>
      <c r="G84" s="19"/>
      <c r="H84" s="8"/>
      <c r="I84" t="s">
        <v>601</v>
      </c>
      <c r="J84" s="4"/>
      <c r="K84" s="13" t="s">
        <v>1434</v>
      </c>
      <c r="L84" s="4">
        <v>0</v>
      </c>
      <c r="M84" s="13" t="s">
        <v>600</v>
      </c>
      <c r="N84" s="4"/>
      <c r="O84" t="s">
        <v>1421</v>
      </c>
      <c r="P84" t="s">
        <v>515</v>
      </c>
      <c r="R84" s="5"/>
      <c r="S84" s="5"/>
      <c r="T84" s="5"/>
      <c r="U84" s="5"/>
      <c r="W84" s="10"/>
      <c r="X84" t="s">
        <v>515</v>
      </c>
      <c r="AC84" t="s">
        <v>512</v>
      </c>
      <c r="AD84" t="s">
        <v>521</v>
      </c>
      <c r="AE84">
        <v>555</v>
      </c>
      <c r="AF84">
        <v>549</v>
      </c>
      <c r="AG84" t="s">
        <v>522</v>
      </c>
      <c r="AH84" t="s">
        <v>515</v>
      </c>
      <c r="AP84" t="s">
        <v>512</v>
      </c>
      <c r="AQ84">
        <v>19</v>
      </c>
      <c r="AR84" t="s">
        <v>605</v>
      </c>
      <c r="AS84" t="s">
        <v>521</v>
      </c>
      <c r="AT84">
        <v>562</v>
      </c>
      <c r="AU84">
        <v>551</v>
      </c>
    </row>
    <row r="85" spans="1:48" x14ac:dyDescent="0.35">
      <c r="A85">
        <v>21</v>
      </c>
      <c r="B85" t="s">
        <v>615</v>
      </c>
      <c r="C85" t="s">
        <v>616</v>
      </c>
      <c r="D85" s="8" t="s">
        <v>924</v>
      </c>
      <c r="E85" s="8" t="s">
        <v>464</v>
      </c>
      <c r="F85" s="19"/>
      <c r="G85" s="19"/>
      <c r="I85" t="s">
        <v>601</v>
      </c>
      <c r="J85" s="4"/>
      <c r="K85" s="13" t="s">
        <v>1434</v>
      </c>
      <c r="L85" s="4">
        <v>0</v>
      </c>
      <c r="M85" s="3" t="s">
        <v>600</v>
      </c>
      <c r="N85" s="4"/>
      <c r="O85" t="s">
        <v>1421</v>
      </c>
      <c r="P85" t="s">
        <v>515</v>
      </c>
      <c r="R85" s="5"/>
      <c r="S85" s="5"/>
      <c r="T85" s="5"/>
      <c r="U85" s="5"/>
      <c r="W85" s="10"/>
      <c r="X85" t="s">
        <v>515</v>
      </c>
      <c r="AC85" t="s">
        <v>512</v>
      </c>
      <c r="AD85" t="s">
        <v>521</v>
      </c>
      <c r="AE85">
        <v>555</v>
      </c>
      <c r="AF85">
        <v>549</v>
      </c>
      <c r="AG85" t="s">
        <v>522</v>
      </c>
      <c r="AH85" t="s">
        <v>515</v>
      </c>
      <c r="AP85" t="s">
        <v>512</v>
      </c>
      <c r="AQ85">
        <v>3</v>
      </c>
      <c r="AR85" t="s">
        <v>617</v>
      </c>
      <c r="AS85" t="s">
        <v>521</v>
      </c>
      <c r="AT85">
        <v>562</v>
      </c>
      <c r="AU85">
        <v>551</v>
      </c>
    </row>
    <row r="86" spans="1:48" x14ac:dyDescent="0.35">
      <c r="A86">
        <v>31</v>
      </c>
      <c r="B86" t="s">
        <v>667</v>
      </c>
      <c r="C86" t="s">
        <v>668</v>
      </c>
      <c r="D86" s="8" t="s">
        <v>924</v>
      </c>
      <c r="E86" s="8" t="s">
        <v>446</v>
      </c>
      <c r="F86" s="19"/>
      <c r="G86" s="19"/>
      <c r="I86" t="s">
        <v>601</v>
      </c>
      <c r="J86" s="4"/>
      <c r="K86" s="13" t="s">
        <v>1434</v>
      </c>
      <c r="L86" s="4">
        <v>0</v>
      </c>
      <c r="M86" s="13" t="s">
        <v>669</v>
      </c>
      <c r="N86" s="4">
        <v>0</v>
      </c>
      <c r="O86" s="6" t="s">
        <v>670</v>
      </c>
      <c r="P86" s="8" t="s">
        <v>515</v>
      </c>
      <c r="Q86" s="8"/>
      <c r="R86" s="5"/>
      <c r="S86" s="5"/>
      <c r="T86" s="5"/>
      <c r="U86" s="5"/>
      <c r="V86" s="10"/>
      <c r="W86" s="10"/>
      <c r="X86" t="s">
        <v>515</v>
      </c>
      <c r="AC86" t="s">
        <v>512</v>
      </c>
      <c r="AD86" t="s">
        <v>315</v>
      </c>
      <c r="AE86">
        <v>566</v>
      </c>
      <c r="AF86">
        <v>564</v>
      </c>
      <c r="AG86" t="s">
        <v>536</v>
      </c>
      <c r="AH86" t="s">
        <v>515</v>
      </c>
      <c r="AP86" t="s">
        <v>515</v>
      </c>
    </row>
    <row r="87" spans="1:48" x14ac:dyDescent="0.35">
      <c r="A87">
        <v>34</v>
      </c>
      <c r="B87" t="s">
        <v>682</v>
      </c>
      <c r="C87" t="s">
        <v>683</v>
      </c>
      <c r="D87" s="8" t="s">
        <v>924</v>
      </c>
      <c r="E87" s="8" t="s">
        <v>446</v>
      </c>
      <c r="F87" s="19"/>
      <c r="G87" s="19"/>
      <c r="I87" t="s">
        <v>601</v>
      </c>
      <c r="J87" s="4"/>
      <c r="K87" s="13" t="s">
        <v>1434</v>
      </c>
      <c r="L87" s="4">
        <v>0</v>
      </c>
      <c r="M87" s="13" t="s">
        <v>669</v>
      </c>
      <c r="N87" s="4">
        <v>0</v>
      </c>
      <c r="O87" s="6" t="s">
        <v>684</v>
      </c>
      <c r="P87" s="8" t="s">
        <v>515</v>
      </c>
      <c r="Q87" s="8"/>
      <c r="R87" s="5"/>
      <c r="S87" s="5"/>
      <c r="T87" s="5"/>
      <c r="U87" s="5"/>
      <c r="V87" s="10"/>
      <c r="W87" s="10"/>
      <c r="X87" t="s">
        <v>515</v>
      </c>
      <c r="AC87" t="s">
        <v>512</v>
      </c>
      <c r="AD87" t="s">
        <v>521</v>
      </c>
      <c r="AE87">
        <v>555</v>
      </c>
      <c r="AF87">
        <v>549</v>
      </c>
      <c r="AG87" t="s">
        <v>522</v>
      </c>
      <c r="AH87" t="s">
        <v>515</v>
      </c>
      <c r="AP87" t="s">
        <v>515</v>
      </c>
    </row>
    <row r="88" spans="1:48" x14ac:dyDescent="0.35">
      <c r="A88">
        <v>49</v>
      </c>
      <c r="B88" t="s">
        <v>761</v>
      </c>
      <c r="C88" t="s">
        <v>762</v>
      </c>
      <c r="D88" s="8" t="s">
        <v>924</v>
      </c>
      <c r="E88" s="8" t="s">
        <v>464</v>
      </c>
      <c r="F88" s="19"/>
      <c r="G88" s="19"/>
      <c r="I88" t="s">
        <v>601</v>
      </c>
      <c r="J88" s="4"/>
      <c r="K88" s="13" t="s">
        <v>1434</v>
      </c>
      <c r="L88" s="4">
        <v>0</v>
      </c>
      <c r="M88" s="3" t="s">
        <v>600</v>
      </c>
      <c r="N88" s="4"/>
      <c r="O88" t="s">
        <v>1421</v>
      </c>
      <c r="P88" t="s">
        <v>515</v>
      </c>
      <c r="R88" s="5"/>
      <c r="S88" s="5"/>
      <c r="T88" s="5"/>
      <c r="U88" s="5"/>
      <c r="W88" s="10"/>
      <c r="X88" t="s">
        <v>515</v>
      </c>
      <c r="AC88" t="s">
        <v>512</v>
      </c>
      <c r="AD88" t="s">
        <v>315</v>
      </c>
      <c r="AE88">
        <v>566</v>
      </c>
      <c r="AF88">
        <v>564</v>
      </c>
      <c r="AG88" t="s">
        <v>536</v>
      </c>
      <c r="AH88" t="s">
        <v>515</v>
      </c>
      <c r="AP88" t="s">
        <v>515</v>
      </c>
    </row>
    <row r="89" spans="1:48" x14ac:dyDescent="0.35">
      <c r="A89">
        <v>53</v>
      </c>
      <c r="B89" t="s">
        <v>772</v>
      </c>
      <c r="D89" s="8" t="s">
        <v>924</v>
      </c>
      <c r="E89" s="8" t="s">
        <v>446</v>
      </c>
      <c r="F89" s="19"/>
      <c r="G89" s="19"/>
      <c r="I89" t="s">
        <v>601</v>
      </c>
      <c r="J89" s="4"/>
      <c r="K89" s="13" t="s">
        <v>1434</v>
      </c>
      <c r="L89" s="4">
        <v>0</v>
      </c>
      <c r="M89" s="3" t="s">
        <v>600</v>
      </c>
      <c r="N89" s="4"/>
      <c r="O89" t="s">
        <v>1420</v>
      </c>
      <c r="P89" t="s">
        <v>515</v>
      </c>
      <c r="R89" s="5"/>
      <c r="S89" s="5"/>
      <c r="T89" s="5"/>
      <c r="U89" s="5"/>
      <c r="W89" s="10"/>
      <c r="X89" t="s">
        <v>515</v>
      </c>
      <c r="AC89" t="s">
        <v>512</v>
      </c>
      <c r="AD89" t="s">
        <v>315</v>
      </c>
      <c r="AE89">
        <v>566</v>
      </c>
      <c r="AF89">
        <v>564</v>
      </c>
      <c r="AG89" t="s">
        <v>536</v>
      </c>
      <c r="AH89" t="s">
        <v>515</v>
      </c>
      <c r="AP89" t="s">
        <v>512</v>
      </c>
      <c r="AQ89">
        <v>36</v>
      </c>
      <c r="AR89" t="s">
        <v>538</v>
      </c>
      <c r="AS89" t="s">
        <v>315</v>
      </c>
      <c r="AT89">
        <v>565</v>
      </c>
      <c r="AU89">
        <v>560</v>
      </c>
    </row>
    <row r="90" spans="1:48" x14ac:dyDescent="0.35">
      <c r="A90">
        <v>70</v>
      </c>
      <c r="B90" t="s">
        <v>846</v>
      </c>
      <c r="C90" t="s">
        <v>847</v>
      </c>
      <c r="D90" s="8" t="s">
        <v>924</v>
      </c>
      <c r="E90" s="8" t="s">
        <v>446</v>
      </c>
      <c r="F90" s="19"/>
      <c r="G90" s="19"/>
      <c r="I90" t="s">
        <v>601</v>
      </c>
      <c r="J90" s="4"/>
      <c r="K90" s="13" t="s">
        <v>1434</v>
      </c>
      <c r="L90" s="4">
        <v>0</v>
      </c>
      <c r="M90" s="13" t="s">
        <v>669</v>
      </c>
      <c r="N90" s="4">
        <v>0</v>
      </c>
      <c r="O90" s="6" t="s">
        <v>684</v>
      </c>
      <c r="P90" s="8" t="s">
        <v>515</v>
      </c>
      <c r="Q90" s="8"/>
      <c r="R90" s="9"/>
      <c r="S90" s="9"/>
      <c r="T90" s="9"/>
      <c r="U90" s="9"/>
      <c r="V90" s="10"/>
      <c r="W90" s="10"/>
      <c r="X90" t="s">
        <v>515</v>
      </c>
      <c r="AC90" t="s">
        <v>512</v>
      </c>
      <c r="AD90" t="s">
        <v>521</v>
      </c>
      <c r="AE90">
        <v>555</v>
      </c>
      <c r="AF90">
        <v>549</v>
      </c>
      <c r="AG90" t="s">
        <v>522</v>
      </c>
      <c r="AH90" t="s">
        <v>515</v>
      </c>
      <c r="AP90" t="s">
        <v>515</v>
      </c>
    </row>
    <row r="91" spans="1:48" x14ac:dyDescent="0.35">
      <c r="A91">
        <v>71</v>
      </c>
      <c r="B91" t="s">
        <v>848</v>
      </c>
      <c r="C91" t="s">
        <v>849</v>
      </c>
      <c r="D91" s="8" t="s">
        <v>924</v>
      </c>
      <c r="E91" s="8" t="s">
        <v>446</v>
      </c>
      <c r="F91" s="19"/>
      <c r="G91" s="19"/>
      <c r="I91" t="s">
        <v>601</v>
      </c>
      <c r="J91" s="4"/>
      <c r="K91" s="13" t="s">
        <v>1434</v>
      </c>
      <c r="L91" s="4">
        <v>0</v>
      </c>
      <c r="M91" s="13" t="s">
        <v>669</v>
      </c>
      <c r="N91" s="4">
        <v>0</v>
      </c>
      <c r="O91" s="6" t="s">
        <v>670</v>
      </c>
      <c r="P91" s="8" t="s">
        <v>515</v>
      </c>
      <c r="Q91" s="8"/>
      <c r="R91" s="9"/>
      <c r="S91" s="9"/>
      <c r="T91" s="9"/>
      <c r="U91" s="9"/>
      <c r="V91" s="10"/>
      <c r="W91" s="10"/>
      <c r="X91" t="s">
        <v>515</v>
      </c>
      <c r="AC91" t="s">
        <v>512</v>
      </c>
      <c r="AD91" t="s">
        <v>315</v>
      </c>
      <c r="AE91">
        <v>566</v>
      </c>
      <c r="AF91">
        <v>564</v>
      </c>
      <c r="AG91" t="s">
        <v>536</v>
      </c>
      <c r="AH91" t="s">
        <v>515</v>
      </c>
      <c r="AP91" t="s">
        <v>515</v>
      </c>
    </row>
    <row r="92" spans="1:48" x14ac:dyDescent="0.35">
      <c r="A92">
        <v>84</v>
      </c>
      <c r="B92" t="s">
        <v>899</v>
      </c>
      <c r="D92" s="8" t="s">
        <v>924</v>
      </c>
      <c r="E92" s="8" t="s">
        <v>450</v>
      </c>
      <c r="F92" s="19"/>
      <c r="G92" s="19"/>
      <c r="I92" t="s">
        <v>601</v>
      </c>
      <c r="J92" s="4"/>
      <c r="K92" s="13" t="s">
        <v>1434</v>
      </c>
      <c r="L92" s="4">
        <v>0</v>
      </c>
      <c r="M92" s="3" t="s">
        <v>600</v>
      </c>
      <c r="N92" s="4"/>
      <c r="O92" t="s">
        <v>1420</v>
      </c>
      <c r="P92" t="s">
        <v>515</v>
      </c>
      <c r="R92" s="4"/>
      <c r="S92" s="4"/>
      <c r="T92" s="4"/>
      <c r="U92" s="4"/>
      <c r="W92" s="10"/>
      <c r="X92" t="s">
        <v>515</v>
      </c>
      <c r="AC92" t="s">
        <v>512</v>
      </c>
      <c r="AD92" t="s">
        <v>611</v>
      </c>
      <c r="AE92">
        <v>572</v>
      </c>
      <c r="AF92">
        <v>570</v>
      </c>
      <c r="AG92" t="s">
        <v>631</v>
      </c>
      <c r="AH92" t="s">
        <v>515</v>
      </c>
      <c r="AP92" t="s">
        <v>512</v>
      </c>
      <c r="AQ92">
        <v>21</v>
      </c>
      <c r="AR92" t="s">
        <v>841</v>
      </c>
      <c r="AS92" t="s">
        <v>611</v>
      </c>
      <c r="AT92">
        <v>571</v>
      </c>
      <c r="AU92">
        <v>571</v>
      </c>
    </row>
  </sheetData>
  <autoFilter ref="A1:CN92" xr:uid="{81A75E92-0EB8-466D-9C4C-61C8E273062A}">
    <sortState xmlns:xlrd2="http://schemas.microsoft.com/office/spreadsheetml/2017/richdata2" ref="A2:AV92">
      <sortCondition descending="1" ref="H1:H92"/>
    </sortState>
  </autoFilter>
  <phoneticPr fontId="2" type="noConversion"/>
  <conditionalFormatting sqref="A1:XFD1048576">
    <cfRule type="containsBlanks" dxfId="1" priority="8">
      <formula>LEN(TRIM(A1))=0</formula>
    </cfRule>
  </conditionalFormatting>
  <dataValidations count="2">
    <dataValidation errorStyle="warning" allowBlank="1" showInputMessage="1" showErrorMessage="1" sqref="N45 B13 B39 B41 H45:J45 B45 L45 H2:I89 E2:E89 F2:G92" xr:uid="{7C0D0CB5-CF8B-4308-9D4D-AC4B84DE831F}"/>
    <dataValidation type="list" allowBlank="1" showInputMessage="1" showErrorMessage="1" sqref="D2:D1048576" xr:uid="{DC07321D-36FB-49AF-9DEA-02818663C338}">
      <formula1>"glacial, evaporite, oolite, laterite, calcrete"</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7580A-52CB-49E5-BD42-E612AC27FD35}">
  <dimension ref="A1:AJ215"/>
  <sheetViews>
    <sheetView zoomScale="70" zoomScaleNormal="70" workbookViewId="0">
      <pane xSplit="4" ySplit="1" topLeftCell="E2" activePane="bottomRight" state="frozen"/>
      <selection pane="topRight" activeCell="D1" sqref="D1"/>
      <selection pane="bottomLeft" activeCell="A2" sqref="A2"/>
      <selection pane="bottomRight"/>
    </sheetView>
  </sheetViews>
  <sheetFormatPr defaultRowHeight="14.5" x14ac:dyDescent="0.35"/>
  <cols>
    <col min="1" max="1" width="9.81640625" bestFit="1" customWidth="1"/>
    <col min="2" max="2" width="12.90625" bestFit="1" customWidth="1"/>
    <col min="3" max="3" width="29.26953125" customWidth="1"/>
    <col min="4" max="4" width="27.36328125" customWidth="1"/>
    <col min="5" max="5" width="20.1796875" bestFit="1" customWidth="1"/>
    <col min="6" max="6" width="59" customWidth="1"/>
    <col min="7" max="7" width="19.7265625" bestFit="1" customWidth="1"/>
    <col min="8" max="8" width="24.90625" bestFit="1" customWidth="1"/>
    <col min="9" max="9" width="21.90625" bestFit="1" customWidth="1"/>
    <col min="10" max="10" width="22.36328125" bestFit="1" customWidth="1"/>
    <col min="11" max="11" width="14.26953125" bestFit="1" customWidth="1"/>
    <col min="12" max="12" width="10.1796875" bestFit="1" customWidth="1"/>
    <col min="13" max="13" width="14" bestFit="1" customWidth="1"/>
    <col min="14" max="15" width="24" customWidth="1"/>
    <col min="16" max="16" width="15.08984375" bestFit="1" customWidth="1"/>
    <col min="17" max="17" width="21.81640625" bestFit="1" customWidth="1"/>
    <col min="18" max="18" width="27.26953125" bestFit="1" customWidth="1"/>
    <col min="19" max="19" width="22.1796875" bestFit="1" customWidth="1"/>
    <col min="20" max="21" width="21.90625" bestFit="1" customWidth="1"/>
    <col min="22" max="22" width="21.81640625" bestFit="1" customWidth="1"/>
    <col min="23" max="23" width="27" bestFit="1" customWidth="1"/>
    <col min="24" max="25" width="61" customWidth="1"/>
    <col min="26" max="26" width="21.08984375" bestFit="1" customWidth="1"/>
    <col min="27" max="27" width="25.1796875" bestFit="1" customWidth="1"/>
    <col min="28" max="28" width="25.453125" bestFit="1" customWidth="1"/>
    <col min="29" max="29" width="22.90625" bestFit="1" customWidth="1"/>
    <col min="30" max="30" width="27.81640625" bestFit="1" customWidth="1"/>
    <col min="31" max="31" width="23.26953125" bestFit="1" customWidth="1"/>
    <col min="32" max="32" width="61.7265625" customWidth="1"/>
    <col min="33" max="33" width="23.54296875" bestFit="1" customWidth="1"/>
    <col min="34" max="34" width="24.81640625" customWidth="1"/>
    <col min="35" max="35" width="19.90625" bestFit="1" customWidth="1"/>
    <col min="36" max="36" width="17" bestFit="1" customWidth="1"/>
  </cols>
  <sheetData>
    <row r="1" spans="1:36" s="2" customFormat="1" x14ac:dyDescent="0.35">
      <c r="A1" s="2" t="s">
        <v>1588</v>
      </c>
      <c r="B1" s="1" t="s">
        <v>929</v>
      </c>
      <c r="C1" s="7" t="s">
        <v>927</v>
      </c>
      <c r="D1" s="2" t="s">
        <v>1088</v>
      </c>
      <c r="E1" s="2" t="s">
        <v>1352</v>
      </c>
      <c r="F1" s="2" t="s">
        <v>1520</v>
      </c>
      <c r="G1" s="2" t="s">
        <v>1505</v>
      </c>
      <c r="H1" s="2" t="s">
        <v>1353</v>
      </c>
      <c r="I1" s="2" t="s">
        <v>1369</v>
      </c>
      <c r="J1" s="2" t="s">
        <v>1365</v>
      </c>
      <c r="K1" s="2" t="s">
        <v>1366</v>
      </c>
      <c r="L1" s="2" t="s">
        <v>1367</v>
      </c>
      <c r="M1" s="2" t="s">
        <v>1368</v>
      </c>
      <c r="N1" s="2" t="s">
        <v>931</v>
      </c>
      <c r="O1" s="2" t="s">
        <v>932</v>
      </c>
      <c r="P1" s="2" t="s">
        <v>1362</v>
      </c>
      <c r="Q1" s="2" t="s">
        <v>1363</v>
      </c>
      <c r="R1" s="2" t="s">
        <v>1364</v>
      </c>
      <c r="S1" s="14" t="s">
        <v>1356</v>
      </c>
      <c r="T1" s="14" t="s">
        <v>1357</v>
      </c>
      <c r="U1" s="14" t="s">
        <v>1358</v>
      </c>
      <c r="V1" s="14" t="s">
        <v>1359</v>
      </c>
      <c r="W1" s="14" t="s">
        <v>1360</v>
      </c>
      <c r="X1" s="2" t="s">
        <v>1361</v>
      </c>
      <c r="Y1" s="2" t="s">
        <v>1355</v>
      </c>
      <c r="Z1" s="2" t="s">
        <v>933</v>
      </c>
      <c r="AA1" s="2" t="s">
        <v>934</v>
      </c>
      <c r="AB1" s="2" t="s">
        <v>935</v>
      </c>
      <c r="AC1" s="2" t="s">
        <v>936</v>
      </c>
      <c r="AD1" s="2" t="s">
        <v>937</v>
      </c>
      <c r="AE1" s="2" t="s">
        <v>938</v>
      </c>
      <c r="AF1" s="7" t="s">
        <v>1354</v>
      </c>
      <c r="AG1" s="2" t="s">
        <v>939</v>
      </c>
      <c r="AH1" s="2" t="s">
        <v>940</v>
      </c>
      <c r="AI1" s="2" t="s">
        <v>941</v>
      </c>
      <c r="AJ1" s="2" t="s">
        <v>942</v>
      </c>
    </row>
    <row r="2" spans="1:36" x14ac:dyDescent="0.35">
      <c r="A2">
        <v>1</v>
      </c>
      <c r="B2">
        <f>_xlfn.XLOOKUP(C2, csl_deposits!B:B, csl_deposits!A:A, "NA", 0,1)</f>
        <v>1</v>
      </c>
      <c r="C2" t="s">
        <v>509</v>
      </c>
      <c r="D2" t="s">
        <v>18</v>
      </c>
      <c r="E2" t="s">
        <v>1190</v>
      </c>
      <c r="G2" t="s">
        <v>1</v>
      </c>
      <c r="H2" t="s">
        <v>1185</v>
      </c>
      <c r="I2" t="s">
        <v>12</v>
      </c>
      <c r="J2" t="s">
        <v>13</v>
      </c>
      <c r="K2" t="s">
        <v>7</v>
      </c>
      <c r="L2">
        <v>579</v>
      </c>
      <c r="M2">
        <v>17</v>
      </c>
      <c r="P2" t="s">
        <v>14</v>
      </c>
      <c r="Q2" t="s">
        <v>9</v>
      </c>
      <c r="S2">
        <v>579</v>
      </c>
      <c r="T2">
        <v>17</v>
      </c>
      <c r="X2" t="s">
        <v>1189</v>
      </c>
      <c r="Y2" s="3"/>
      <c r="Z2" t="s">
        <v>15</v>
      </c>
      <c r="AB2" t="s">
        <v>19</v>
      </c>
      <c r="AG2" t="s">
        <v>10</v>
      </c>
    </row>
    <row r="3" spans="1:36" x14ac:dyDescent="0.35">
      <c r="A3">
        <v>2</v>
      </c>
      <c r="B3">
        <f>_xlfn.XLOOKUP(C3, csl_deposits!B:B, csl_deposits!A:A, "NA", 0,1)</f>
        <v>1</v>
      </c>
      <c r="C3" t="s">
        <v>509</v>
      </c>
      <c r="D3" t="s">
        <v>20</v>
      </c>
      <c r="E3" t="s">
        <v>1190</v>
      </c>
      <c r="G3" t="s">
        <v>1</v>
      </c>
      <c r="H3" t="s">
        <v>1185</v>
      </c>
      <c r="I3" t="s">
        <v>12</v>
      </c>
      <c r="J3" t="s">
        <v>0</v>
      </c>
      <c r="K3" t="s">
        <v>7</v>
      </c>
      <c r="L3">
        <v>604</v>
      </c>
      <c r="M3">
        <v>18</v>
      </c>
      <c r="P3" t="s">
        <v>14</v>
      </c>
      <c r="Q3" t="s">
        <v>9</v>
      </c>
      <c r="S3">
        <v>604</v>
      </c>
      <c r="T3">
        <v>18</v>
      </c>
      <c r="X3" t="s">
        <v>1189</v>
      </c>
      <c r="Y3" t="s">
        <v>21</v>
      </c>
      <c r="Z3" t="s">
        <v>15</v>
      </c>
      <c r="AB3" t="s">
        <v>19</v>
      </c>
      <c r="AG3" t="s">
        <v>10</v>
      </c>
    </row>
    <row r="4" spans="1:36" x14ac:dyDescent="0.35">
      <c r="A4">
        <v>3</v>
      </c>
      <c r="B4">
        <f>_xlfn.XLOOKUP(C4, csl_deposits!B:B, csl_deposits!A:A, "NA", 0,1)</f>
        <v>1</v>
      </c>
      <c r="C4" t="s">
        <v>509</v>
      </c>
      <c r="D4" t="s">
        <v>3</v>
      </c>
      <c r="E4" t="s">
        <v>1184</v>
      </c>
      <c r="F4" t="s">
        <v>1187</v>
      </c>
      <c r="G4" t="s">
        <v>0</v>
      </c>
      <c r="H4" t="s">
        <v>1185</v>
      </c>
      <c r="I4" t="s">
        <v>5</v>
      </c>
      <c r="J4" t="s">
        <v>6</v>
      </c>
      <c r="K4" t="s">
        <v>7</v>
      </c>
      <c r="L4">
        <v>618.16999999999996</v>
      </c>
      <c r="M4">
        <v>0.89</v>
      </c>
      <c r="P4" t="s">
        <v>8</v>
      </c>
      <c r="Q4" t="s">
        <v>9</v>
      </c>
      <c r="S4">
        <v>618.16999999999996</v>
      </c>
      <c r="T4">
        <v>0.2</v>
      </c>
      <c r="U4">
        <v>0.62</v>
      </c>
      <c r="V4">
        <v>0.89</v>
      </c>
      <c r="W4">
        <v>0.65</v>
      </c>
      <c r="X4" t="s">
        <v>1186</v>
      </c>
      <c r="Y4" s="3"/>
      <c r="AD4" t="s">
        <v>5</v>
      </c>
      <c r="AG4" t="s">
        <v>10</v>
      </c>
    </row>
    <row r="5" spans="1:36" x14ac:dyDescent="0.35">
      <c r="A5">
        <v>4</v>
      </c>
      <c r="B5">
        <f>_xlfn.XLOOKUP(C5, csl_deposits!B:B, csl_deposits!A:A, "NA", 0,1)</f>
        <v>1</v>
      </c>
      <c r="C5" t="s">
        <v>509</v>
      </c>
      <c r="D5" t="s">
        <v>11</v>
      </c>
      <c r="E5" t="s">
        <v>1188</v>
      </c>
      <c r="G5" t="s">
        <v>2</v>
      </c>
      <c r="H5" t="s">
        <v>1185</v>
      </c>
      <c r="I5" t="s">
        <v>12</v>
      </c>
      <c r="J5" t="s">
        <v>13</v>
      </c>
      <c r="K5" t="s">
        <v>7</v>
      </c>
      <c r="L5">
        <v>596</v>
      </c>
      <c r="M5">
        <v>17</v>
      </c>
      <c r="P5" t="s">
        <v>14</v>
      </c>
      <c r="Q5" t="s">
        <v>9</v>
      </c>
      <c r="S5">
        <v>596</v>
      </c>
      <c r="T5">
        <v>17</v>
      </c>
      <c r="X5" t="s">
        <v>1189</v>
      </c>
      <c r="Y5" s="3"/>
      <c r="Z5" t="s">
        <v>15</v>
      </c>
      <c r="AB5" t="s">
        <v>16</v>
      </c>
      <c r="AC5" t="s">
        <v>17</v>
      </c>
      <c r="AG5" t="s">
        <v>10</v>
      </c>
    </row>
    <row r="6" spans="1:36" x14ac:dyDescent="0.35">
      <c r="A6">
        <v>5</v>
      </c>
      <c r="B6">
        <f>_xlfn.XLOOKUP(C6, csl_deposits!B:B, csl_deposits!A:A, "NA", 0,1)</f>
        <v>2</v>
      </c>
      <c r="C6" t="s">
        <v>516</v>
      </c>
      <c r="E6" t="s">
        <v>1190</v>
      </c>
      <c r="F6" t="s">
        <v>1192</v>
      </c>
      <c r="G6" t="s">
        <v>1</v>
      </c>
      <c r="H6" t="s">
        <v>1191</v>
      </c>
      <c r="J6" t="s">
        <v>1</v>
      </c>
      <c r="L6">
        <v>538.79999999999995</v>
      </c>
      <c r="AB6" t="s">
        <v>1193</v>
      </c>
      <c r="AG6" t="s">
        <v>22</v>
      </c>
      <c r="AH6" t="s">
        <v>1371</v>
      </c>
    </row>
    <row r="7" spans="1:36" x14ac:dyDescent="0.35">
      <c r="A7">
        <v>6</v>
      </c>
      <c r="B7">
        <f>_xlfn.XLOOKUP(C7, csl_deposits!B:B, csl_deposits!A:A, "NA", 0,1)</f>
        <v>2</v>
      </c>
      <c r="C7" t="s">
        <v>516</v>
      </c>
      <c r="E7" t="s">
        <v>1190</v>
      </c>
      <c r="F7" t="s">
        <v>1192</v>
      </c>
      <c r="G7" t="s">
        <v>1</v>
      </c>
      <c r="H7" t="s">
        <v>1191</v>
      </c>
      <c r="J7" t="s">
        <v>1</v>
      </c>
      <c r="L7">
        <v>538.79999999999995</v>
      </c>
      <c r="AB7" t="s">
        <v>1193</v>
      </c>
      <c r="AG7" t="s">
        <v>22</v>
      </c>
      <c r="AH7" t="s">
        <v>1371</v>
      </c>
    </row>
    <row r="8" spans="1:36" x14ac:dyDescent="0.35">
      <c r="A8">
        <v>7</v>
      </c>
      <c r="B8">
        <f>_xlfn.XLOOKUP(C8, csl_deposits!B:B, csl_deposits!A:A, "NA", 0,1)</f>
        <v>2</v>
      </c>
      <c r="C8" t="s">
        <v>516</v>
      </c>
      <c r="E8" t="s">
        <v>1190</v>
      </c>
      <c r="F8" t="s">
        <v>1192</v>
      </c>
      <c r="G8" t="s">
        <v>1</v>
      </c>
      <c r="H8" t="s">
        <v>1191</v>
      </c>
      <c r="J8" t="s">
        <v>1</v>
      </c>
      <c r="L8">
        <v>538.79999999999995</v>
      </c>
      <c r="AB8" t="s">
        <v>1193</v>
      </c>
      <c r="AG8" t="s">
        <v>22</v>
      </c>
      <c r="AH8" t="s">
        <v>1371</v>
      </c>
    </row>
    <row r="9" spans="1:36" x14ac:dyDescent="0.35">
      <c r="A9">
        <v>8</v>
      </c>
      <c r="B9">
        <f>_xlfn.XLOOKUP(C9, csl_deposits!B:B, csl_deposits!A:A, "NA", 0,1)</f>
        <v>2</v>
      </c>
      <c r="C9" t="s">
        <v>516</v>
      </c>
      <c r="D9" t="s">
        <v>23</v>
      </c>
      <c r="E9" t="s">
        <v>1184</v>
      </c>
      <c r="F9" t="s">
        <v>1195</v>
      </c>
      <c r="G9" t="s">
        <v>0</v>
      </c>
      <c r="H9" t="s">
        <v>1185</v>
      </c>
      <c r="I9" t="s">
        <v>24</v>
      </c>
      <c r="J9" t="s">
        <v>0</v>
      </c>
      <c r="K9" t="s">
        <v>7</v>
      </c>
      <c r="L9">
        <v>629</v>
      </c>
      <c r="M9">
        <v>8</v>
      </c>
      <c r="P9" t="s">
        <v>14</v>
      </c>
      <c r="Q9" t="s">
        <v>25</v>
      </c>
      <c r="S9">
        <v>629</v>
      </c>
      <c r="T9">
        <v>8</v>
      </c>
      <c r="X9" t="s">
        <v>1194</v>
      </c>
      <c r="AB9" t="s">
        <v>26</v>
      </c>
      <c r="AG9" t="s">
        <v>27</v>
      </c>
    </row>
    <row r="10" spans="1:36" x14ac:dyDescent="0.35">
      <c r="A10">
        <v>9</v>
      </c>
      <c r="B10">
        <f>_xlfn.XLOOKUP(C10, csl_deposits!B:B, csl_deposits!A:A, "NA", 0,1)</f>
        <v>2</v>
      </c>
      <c r="C10" t="s">
        <v>516</v>
      </c>
      <c r="D10" t="s">
        <v>1490</v>
      </c>
      <c r="E10" t="s">
        <v>1188</v>
      </c>
      <c r="F10" t="s">
        <v>1492</v>
      </c>
      <c r="G10" t="s">
        <v>0</v>
      </c>
      <c r="H10" t="s">
        <v>1185</v>
      </c>
      <c r="I10" t="s">
        <v>24</v>
      </c>
      <c r="J10" t="s">
        <v>0</v>
      </c>
      <c r="K10" t="s">
        <v>7</v>
      </c>
      <c r="L10">
        <v>581</v>
      </c>
      <c r="M10">
        <v>6</v>
      </c>
      <c r="P10" t="s">
        <v>14</v>
      </c>
      <c r="Q10" t="s">
        <v>25</v>
      </c>
      <c r="S10">
        <v>581</v>
      </c>
      <c r="T10">
        <v>6</v>
      </c>
      <c r="X10" t="s">
        <v>1493</v>
      </c>
      <c r="AB10" t="s">
        <v>1089</v>
      </c>
      <c r="AC10" t="s">
        <v>1494</v>
      </c>
      <c r="AG10" t="s">
        <v>1489</v>
      </c>
    </row>
    <row r="11" spans="1:36" x14ac:dyDescent="0.35">
      <c r="A11">
        <v>10</v>
      </c>
      <c r="B11">
        <f>_xlfn.XLOOKUP(C11, csl_deposits!B:B, csl_deposits!A:A, "NA", 0,1)</f>
        <v>2</v>
      </c>
      <c r="C11" t="s">
        <v>516</v>
      </c>
      <c r="D11" t="s">
        <v>1491</v>
      </c>
      <c r="E11" t="s">
        <v>1188</v>
      </c>
      <c r="F11" t="s">
        <v>1492</v>
      </c>
      <c r="G11" t="s">
        <v>0</v>
      </c>
      <c r="H11" t="s">
        <v>1185</v>
      </c>
      <c r="I11" t="s">
        <v>24</v>
      </c>
      <c r="J11" t="s">
        <v>0</v>
      </c>
      <c r="K11" t="s">
        <v>7</v>
      </c>
      <c r="L11">
        <v>556</v>
      </c>
      <c r="M11">
        <v>8</v>
      </c>
      <c r="P11" t="s">
        <v>14</v>
      </c>
      <c r="Q11" t="s">
        <v>25</v>
      </c>
      <c r="S11">
        <v>556</v>
      </c>
      <c r="T11">
        <v>8</v>
      </c>
      <c r="X11" t="s">
        <v>1493</v>
      </c>
      <c r="AB11" t="s">
        <v>1089</v>
      </c>
      <c r="AC11" t="s">
        <v>1494</v>
      </c>
      <c r="AG11" t="s">
        <v>1489</v>
      </c>
    </row>
    <row r="12" spans="1:36" x14ac:dyDescent="0.35">
      <c r="A12">
        <v>11</v>
      </c>
      <c r="B12">
        <f>_xlfn.XLOOKUP(C12, csl_deposits!B:B, csl_deposits!A:A, "NA", 0,1)</f>
        <v>4</v>
      </c>
      <c r="C12" t="s">
        <v>532</v>
      </c>
      <c r="E12" t="s">
        <v>1190</v>
      </c>
      <c r="F12" t="s">
        <v>1196</v>
      </c>
      <c r="G12" t="s">
        <v>1</v>
      </c>
      <c r="H12" t="s">
        <v>1191</v>
      </c>
      <c r="J12" t="s">
        <v>1</v>
      </c>
      <c r="L12">
        <v>538.79999999999995</v>
      </c>
      <c r="AG12" t="s">
        <v>1197</v>
      </c>
    </row>
    <row r="13" spans="1:36" x14ac:dyDescent="0.35">
      <c r="A13">
        <v>12</v>
      </c>
      <c r="B13">
        <f>_xlfn.XLOOKUP(C13, csl_deposits!B:B, csl_deposits!A:A, "NA", 0,1)</f>
        <v>4</v>
      </c>
      <c r="C13" t="s">
        <v>532</v>
      </c>
      <c r="E13" t="s">
        <v>1184</v>
      </c>
      <c r="F13" t="s">
        <v>1200</v>
      </c>
      <c r="G13" t="s">
        <v>0</v>
      </c>
      <c r="H13" t="s">
        <v>1022</v>
      </c>
      <c r="I13" t="s">
        <v>28</v>
      </c>
      <c r="J13" t="s">
        <v>0</v>
      </c>
      <c r="K13" t="s">
        <v>1198</v>
      </c>
      <c r="L13">
        <v>566.9</v>
      </c>
      <c r="M13">
        <v>3.5</v>
      </c>
      <c r="N13" t="s">
        <v>1007</v>
      </c>
      <c r="O13" t="s">
        <v>1199</v>
      </c>
      <c r="R13" s="3"/>
      <c r="AB13" t="s">
        <v>1006</v>
      </c>
      <c r="AG13" t="s">
        <v>1197</v>
      </c>
      <c r="AH13" t="s">
        <v>463</v>
      </c>
      <c r="AI13" t="s">
        <v>29</v>
      </c>
      <c r="AJ13" t="s">
        <v>455</v>
      </c>
    </row>
    <row r="14" spans="1:36" x14ac:dyDescent="0.35">
      <c r="A14">
        <v>13</v>
      </c>
      <c r="B14">
        <f>_xlfn.XLOOKUP(C14, csl_deposits!B:B, csl_deposits!A:A, "NA", 0,1)</f>
        <v>5</v>
      </c>
      <c r="C14" t="s">
        <v>539</v>
      </c>
      <c r="D14" t="s">
        <v>30</v>
      </c>
      <c r="E14" t="s">
        <v>1190</v>
      </c>
      <c r="F14" s="3" t="s">
        <v>1201</v>
      </c>
      <c r="G14" t="s">
        <v>1</v>
      </c>
      <c r="H14" t="s">
        <v>1185</v>
      </c>
      <c r="I14" t="s">
        <v>31</v>
      </c>
      <c r="J14" t="s">
        <v>13</v>
      </c>
      <c r="K14" t="s">
        <v>7</v>
      </c>
      <c r="L14" s="4">
        <v>569.36</v>
      </c>
      <c r="M14" s="4">
        <v>0.28999999999999998</v>
      </c>
      <c r="P14" t="s">
        <v>32</v>
      </c>
      <c r="Q14" t="s">
        <v>9</v>
      </c>
      <c r="R14" s="3"/>
      <c r="S14" s="4">
        <v>569.36</v>
      </c>
      <c r="T14" s="4">
        <v>0.28999999999999998</v>
      </c>
      <c r="W14">
        <v>0.05</v>
      </c>
      <c r="X14" t="s">
        <v>1025</v>
      </c>
      <c r="Y14" s="3"/>
      <c r="Z14" t="s">
        <v>33</v>
      </c>
      <c r="AB14" s="3" t="s">
        <v>34</v>
      </c>
      <c r="AF14" t="s">
        <v>1202</v>
      </c>
      <c r="AG14" t="s">
        <v>35</v>
      </c>
      <c r="AH14" t="s">
        <v>36</v>
      </c>
      <c r="AI14" t="s">
        <v>37</v>
      </c>
    </row>
    <row r="15" spans="1:36" x14ac:dyDescent="0.35">
      <c r="A15">
        <v>14</v>
      </c>
      <c r="B15">
        <f>_xlfn.XLOOKUP(C15, csl_deposits!B:B, csl_deposits!A:A, "NA", 0,1)</f>
        <v>5</v>
      </c>
      <c r="C15" t="s">
        <v>539</v>
      </c>
      <c r="D15" t="s">
        <v>38</v>
      </c>
      <c r="E15" t="s">
        <v>1190</v>
      </c>
      <c r="F15" s="3" t="s">
        <v>1201</v>
      </c>
      <c r="G15" t="s">
        <v>1</v>
      </c>
      <c r="H15" t="s">
        <v>1185</v>
      </c>
      <c r="I15" t="s">
        <v>31</v>
      </c>
      <c r="J15" t="s">
        <v>13</v>
      </c>
      <c r="K15" t="s">
        <v>7</v>
      </c>
      <c r="L15" s="4">
        <v>569.4</v>
      </c>
      <c r="M15" s="4">
        <v>0.12</v>
      </c>
      <c r="P15" t="s">
        <v>32</v>
      </c>
      <c r="Q15" t="s">
        <v>9</v>
      </c>
      <c r="R15" s="3"/>
      <c r="S15" s="4">
        <v>569.4</v>
      </c>
      <c r="T15" s="4">
        <v>0.12</v>
      </c>
      <c r="W15">
        <v>1.35</v>
      </c>
      <c r="X15" t="s">
        <v>1025</v>
      </c>
      <c r="Y15" s="3"/>
      <c r="Z15" t="s">
        <v>33</v>
      </c>
      <c r="AB15" s="3" t="s">
        <v>34</v>
      </c>
      <c r="AF15" t="s">
        <v>1202</v>
      </c>
      <c r="AG15" t="s">
        <v>35</v>
      </c>
      <c r="AH15" t="s">
        <v>36</v>
      </c>
      <c r="AI15" t="s">
        <v>37</v>
      </c>
    </row>
    <row r="16" spans="1:36" x14ac:dyDescent="0.35">
      <c r="A16">
        <v>15</v>
      </c>
      <c r="B16">
        <f>_xlfn.XLOOKUP(C16, csl_deposits!B:B, csl_deposits!A:A, "NA", 0,1)</f>
        <v>8</v>
      </c>
      <c r="C16" t="s">
        <v>553</v>
      </c>
      <c r="E16" t="s">
        <v>1190</v>
      </c>
      <c r="F16" s="3" t="s">
        <v>1203</v>
      </c>
      <c r="G16" t="s">
        <v>1</v>
      </c>
      <c r="H16" t="s">
        <v>1191</v>
      </c>
      <c r="J16" t="s">
        <v>1</v>
      </c>
      <c r="L16" s="4">
        <v>538.79999999999995</v>
      </c>
      <c r="AG16" t="s">
        <v>1204</v>
      </c>
      <c r="AH16" t="s">
        <v>1205</v>
      </c>
    </row>
    <row r="17" spans="1:36" x14ac:dyDescent="0.35">
      <c r="A17">
        <v>16</v>
      </c>
      <c r="B17">
        <f>_xlfn.XLOOKUP(C17, csl_deposits!B:B, csl_deposits!A:A, "NA", 0,1)</f>
        <v>9</v>
      </c>
      <c r="C17" t="s">
        <v>559</v>
      </c>
      <c r="E17" t="s">
        <v>1190</v>
      </c>
      <c r="F17" t="s">
        <v>1207</v>
      </c>
      <c r="G17" t="s">
        <v>1</v>
      </c>
      <c r="H17" t="s">
        <v>1022</v>
      </c>
      <c r="J17" t="s">
        <v>1</v>
      </c>
      <c r="K17" t="s">
        <v>1198</v>
      </c>
      <c r="L17">
        <v>574</v>
      </c>
      <c r="M17">
        <v>4.7</v>
      </c>
      <c r="N17" t="s">
        <v>1007</v>
      </c>
      <c r="O17" t="s">
        <v>1206</v>
      </c>
      <c r="AB17" t="s">
        <v>1006</v>
      </c>
      <c r="AG17" t="s">
        <v>1098</v>
      </c>
      <c r="AH17" t="s">
        <v>463</v>
      </c>
      <c r="AI17" t="s">
        <v>29</v>
      </c>
    </row>
    <row r="18" spans="1:36" x14ac:dyDescent="0.35">
      <c r="A18">
        <v>17</v>
      </c>
      <c r="B18">
        <f>_xlfn.XLOOKUP(C18, csl_deposits!B:B, csl_deposits!A:A, "NA", 0,1)</f>
        <v>9</v>
      </c>
      <c r="C18" t="s">
        <v>559</v>
      </c>
      <c r="E18" t="s">
        <v>1184</v>
      </c>
      <c r="F18" t="s">
        <v>1209</v>
      </c>
      <c r="G18" t="s">
        <v>0</v>
      </c>
      <c r="H18" t="s">
        <v>1208</v>
      </c>
      <c r="J18" t="s">
        <v>0</v>
      </c>
      <c r="L18">
        <v>635</v>
      </c>
      <c r="M18">
        <v>0</v>
      </c>
      <c r="AG18" t="s">
        <v>1098</v>
      </c>
      <c r="AH18" t="s">
        <v>463</v>
      </c>
      <c r="AI18" t="s">
        <v>29</v>
      </c>
    </row>
    <row r="19" spans="1:36" x14ac:dyDescent="0.35">
      <c r="A19">
        <v>18</v>
      </c>
      <c r="B19">
        <f>_xlfn.XLOOKUP(C19, csl_deposits!B:B, csl_deposits!A:A, "NA", 0,1)</f>
        <v>10</v>
      </c>
      <c r="C19" t="s">
        <v>565</v>
      </c>
      <c r="E19" t="s">
        <v>1190</v>
      </c>
      <c r="F19" t="s">
        <v>1211</v>
      </c>
      <c r="G19" t="s">
        <v>1</v>
      </c>
      <c r="H19" t="s">
        <v>1185</v>
      </c>
      <c r="I19" t="s">
        <v>39</v>
      </c>
      <c r="J19" t="s">
        <v>1</v>
      </c>
      <c r="K19" t="s">
        <v>40</v>
      </c>
      <c r="L19">
        <v>575</v>
      </c>
      <c r="M19">
        <v>2</v>
      </c>
      <c r="Q19" t="s">
        <v>41</v>
      </c>
      <c r="S19">
        <v>575</v>
      </c>
      <c r="T19">
        <v>2</v>
      </c>
      <c r="X19" t="s">
        <v>1210</v>
      </c>
      <c r="Z19" t="s">
        <v>42</v>
      </c>
      <c r="AD19" t="s">
        <v>43</v>
      </c>
      <c r="AG19" t="s">
        <v>44</v>
      </c>
      <c r="AH19" t="s">
        <v>45</v>
      </c>
    </row>
    <row r="20" spans="1:36" x14ac:dyDescent="0.35">
      <c r="A20">
        <v>19</v>
      </c>
      <c r="B20">
        <f>_xlfn.XLOOKUP(C20, csl_deposits!B:B, csl_deposits!A:A, "NA", 0,1)</f>
        <v>10</v>
      </c>
      <c r="C20" t="s">
        <v>565</v>
      </c>
      <c r="E20" t="s">
        <v>1184</v>
      </c>
      <c r="F20" t="s">
        <v>1213</v>
      </c>
      <c r="G20" t="s">
        <v>0</v>
      </c>
      <c r="H20" t="s">
        <v>1185</v>
      </c>
      <c r="I20" t="s">
        <v>39</v>
      </c>
      <c r="J20" t="s">
        <v>0</v>
      </c>
      <c r="K20" t="s">
        <v>40</v>
      </c>
      <c r="L20">
        <v>610</v>
      </c>
      <c r="M20">
        <v>16</v>
      </c>
      <c r="Q20" t="s">
        <v>41</v>
      </c>
      <c r="S20">
        <v>610</v>
      </c>
      <c r="T20">
        <v>16</v>
      </c>
      <c r="X20" t="s">
        <v>1212</v>
      </c>
      <c r="Z20" t="s">
        <v>42</v>
      </c>
      <c r="AD20" t="s">
        <v>43</v>
      </c>
      <c r="AG20" t="s">
        <v>44</v>
      </c>
      <c r="AH20" t="s">
        <v>45</v>
      </c>
    </row>
    <row r="21" spans="1:36" x14ac:dyDescent="0.35">
      <c r="A21">
        <v>20</v>
      </c>
      <c r="B21">
        <f>_xlfn.XLOOKUP(C21, csl_deposits!B:B, csl_deposits!A:A, "NA", 0,1)</f>
        <v>10</v>
      </c>
      <c r="C21" t="s">
        <v>565</v>
      </c>
      <c r="E21" t="s">
        <v>1188</v>
      </c>
      <c r="F21" t="s">
        <v>1215</v>
      </c>
      <c r="G21" t="s">
        <v>0</v>
      </c>
      <c r="H21" t="s">
        <v>1185</v>
      </c>
      <c r="I21" t="s">
        <v>46</v>
      </c>
      <c r="J21" t="s">
        <v>0</v>
      </c>
      <c r="K21" t="s">
        <v>7</v>
      </c>
      <c r="L21">
        <v>598</v>
      </c>
      <c r="M21">
        <v>60</v>
      </c>
      <c r="Q21" t="s">
        <v>25</v>
      </c>
      <c r="S21">
        <v>598</v>
      </c>
      <c r="T21">
        <v>60</v>
      </c>
      <c r="X21" t="s">
        <v>1214</v>
      </c>
      <c r="Z21" t="s">
        <v>47</v>
      </c>
      <c r="AB21" t="s">
        <v>48</v>
      </c>
      <c r="AC21" t="s">
        <v>49</v>
      </c>
      <c r="AG21" t="s">
        <v>44</v>
      </c>
      <c r="AH21" t="s">
        <v>50</v>
      </c>
      <c r="AI21" t="s">
        <v>45</v>
      </c>
    </row>
    <row r="22" spans="1:36" x14ac:dyDescent="0.35">
      <c r="A22">
        <v>21</v>
      </c>
      <c r="B22">
        <f>_xlfn.XLOOKUP(C22, csl_deposits!B:B, csl_deposits!A:A, "NA", 0,1)</f>
        <v>12</v>
      </c>
      <c r="C22" t="s">
        <v>51</v>
      </c>
      <c r="D22" t="s">
        <v>57</v>
      </c>
      <c r="E22" t="s">
        <v>1184</v>
      </c>
      <c r="G22" t="s">
        <v>0</v>
      </c>
      <c r="H22" t="s">
        <v>1185</v>
      </c>
      <c r="I22" t="s">
        <v>58</v>
      </c>
      <c r="J22" t="s">
        <v>0</v>
      </c>
      <c r="K22" t="s">
        <v>7</v>
      </c>
      <c r="L22" s="5">
        <v>565</v>
      </c>
      <c r="M22" s="5">
        <v>5</v>
      </c>
      <c r="P22" t="s">
        <v>14</v>
      </c>
      <c r="Q22" t="s">
        <v>25</v>
      </c>
      <c r="R22" s="3"/>
      <c r="S22" s="5">
        <v>565</v>
      </c>
      <c r="T22" s="6"/>
      <c r="U22" s="6"/>
      <c r="V22" s="5">
        <v>5</v>
      </c>
      <c r="X22" t="s">
        <v>1053</v>
      </c>
      <c r="Z22" t="s">
        <v>53</v>
      </c>
      <c r="AC22" t="s">
        <v>59</v>
      </c>
      <c r="AG22" t="s">
        <v>56</v>
      </c>
    </row>
    <row r="23" spans="1:36" x14ac:dyDescent="0.35">
      <c r="A23">
        <v>22</v>
      </c>
      <c r="B23">
        <f>_xlfn.XLOOKUP(C23, csl_deposits!B:B, csl_deposits!A:A, "NA", 0,1)</f>
        <v>12</v>
      </c>
      <c r="C23" t="s">
        <v>51</v>
      </c>
      <c r="D23" t="s">
        <v>60</v>
      </c>
      <c r="E23" t="s">
        <v>1184</v>
      </c>
      <c r="G23" t="s">
        <v>0</v>
      </c>
      <c r="H23" t="s">
        <v>1185</v>
      </c>
      <c r="I23" t="s">
        <v>61</v>
      </c>
      <c r="J23" t="s">
        <v>0</v>
      </c>
      <c r="K23" t="s">
        <v>7</v>
      </c>
      <c r="L23" s="5">
        <v>570</v>
      </c>
      <c r="M23" s="5">
        <v>8</v>
      </c>
      <c r="P23" t="s">
        <v>14</v>
      </c>
      <c r="Q23" t="s">
        <v>25</v>
      </c>
      <c r="R23" s="3"/>
      <c r="S23" s="5">
        <v>570</v>
      </c>
      <c r="T23" s="6"/>
      <c r="U23" s="6"/>
      <c r="V23" s="5">
        <v>8</v>
      </c>
      <c r="X23" t="s">
        <v>1054</v>
      </c>
      <c r="Z23" t="s">
        <v>53</v>
      </c>
      <c r="AC23" t="s">
        <v>62</v>
      </c>
      <c r="AE23" t="s">
        <v>51</v>
      </c>
      <c r="AG23" t="s">
        <v>56</v>
      </c>
    </row>
    <row r="24" spans="1:36" x14ac:dyDescent="0.35">
      <c r="A24">
        <v>23</v>
      </c>
      <c r="B24">
        <f>_xlfn.XLOOKUP(C24, csl_deposits!B:B, csl_deposits!A:A, "NA", 0,1)</f>
        <v>12</v>
      </c>
      <c r="C24" t="s">
        <v>51</v>
      </c>
      <c r="D24" t="s">
        <v>63</v>
      </c>
      <c r="E24" t="s">
        <v>1184</v>
      </c>
      <c r="G24" t="s">
        <v>0</v>
      </c>
      <c r="H24" t="s">
        <v>1185</v>
      </c>
      <c r="I24" t="s">
        <v>64</v>
      </c>
      <c r="J24" t="s">
        <v>0</v>
      </c>
      <c r="K24" t="s">
        <v>7</v>
      </c>
      <c r="L24" s="5">
        <v>574</v>
      </c>
      <c r="M24" s="5">
        <v>6</v>
      </c>
      <c r="P24" t="s">
        <v>14</v>
      </c>
      <c r="Q24" t="s">
        <v>25</v>
      </c>
      <c r="R24" s="3"/>
      <c r="S24" s="5">
        <v>574</v>
      </c>
      <c r="T24" s="6"/>
      <c r="U24" s="6"/>
      <c r="V24" s="5">
        <v>6</v>
      </c>
      <c r="W24">
        <v>6.5000000000000002E-2</v>
      </c>
      <c r="X24" t="s">
        <v>1055</v>
      </c>
      <c r="Z24" t="s">
        <v>53</v>
      </c>
      <c r="AC24" t="s">
        <v>62</v>
      </c>
      <c r="AE24" t="s">
        <v>51</v>
      </c>
      <c r="AG24" t="s">
        <v>56</v>
      </c>
    </row>
    <row r="25" spans="1:36" x14ac:dyDescent="0.35">
      <c r="A25">
        <v>24</v>
      </c>
      <c r="B25">
        <f>_xlfn.XLOOKUP(C25, csl_deposits!B:B, csl_deposits!A:A, "NA", 0,1)</f>
        <v>12</v>
      </c>
      <c r="C25" t="s">
        <v>51</v>
      </c>
      <c r="D25" t="s">
        <v>65</v>
      </c>
      <c r="E25" t="s">
        <v>1184</v>
      </c>
      <c r="G25" t="s">
        <v>0</v>
      </c>
      <c r="H25" t="s">
        <v>1185</v>
      </c>
      <c r="I25" t="s">
        <v>24</v>
      </c>
      <c r="J25" t="s">
        <v>0</v>
      </c>
      <c r="K25" t="s">
        <v>7</v>
      </c>
      <c r="L25">
        <v>503</v>
      </c>
      <c r="M25">
        <v>19</v>
      </c>
      <c r="P25" t="s">
        <v>66</v>
      </c>
      <c r="Q25" t="s">
        <v>67</v>
      </c>
      <c r="S25">
        <v>503</v>
      </c>
      <c r="T25">
        <v>19</v>
      </c>
      <c r="W25">
        <v>1.5</v>
      </c>
      <c r="X25" t="s">
        <v>1218</v>
      </c>
      <c r="Y25" s="3"/>
      <c r="Z25" t="s">
        <v>53</v>
      </c>
      <c r="AC25" t="s">
        <v>62</v>
      </c>
      <c r="AG25" t="s">
        <v>68</v>
      </c>
    </row>
    <row r="26" spans="1:36" x14ac:dyDescent="0.35">
      <c r="A26">
        <v>25</v>
      </c>
      <c r="B26">
        <f>_xlfn.XLOOKUP(C26, csl_deposits!B:B, csl_deposits!A:A, "NA", 0,1)</f>
        <v>12</v>
      </c>
      <c r="C26" t="s">
        <v>51</v>
      </c>
      <c r="D26" t="s">
        <v>52</v>
      </c>
      <c r="F26" t="s">
        <v>1217</v>
      </c>
      <c r="H26" t="s">
        <v>1185</v>
      </c>
      <c r="I26" t="s">
        <v>54</v>
      </c>
      <c r="J26" t="s">
        <v>6</v>
      </c>
      <c r="K26" t="s">
        <v>7</v>
      </c>
      <c r="L26" s="5">
        <v>537</v>
      </c>
      <c r="M26" s="5">
        <v>5</v>
      </c>
      <c r="P26" t="s">
        <v>14</v>
      </c>
      <c r="Q26" t="s">
        <v>9</v>
      </c>
      <c r="R26" s="3"/>
      <c r="S26" s="5">
        <v>537</v>
      </c>
      <c r="T26" s="6"/>
      <c r="U26" s="6"/>
      <c r="V26" s="5">
        <v>5</v>
      </c>
      <c r="W26">
        <v>0.32</v>
      </c>
      <c r="X26" t="s">
        <v>1216</v>
      </c>
      <c r="AB26" t="s">
        <v>55</v>
      </c>
      <c r="AG26" t="s">
        <v>56</v>
      </c>
    </row>
    <row r="27" spans="1:36" x14ac:dyDescent="0.35">
      <c r="A27">
        <v>26</v>
      </c>
      <c r="B27">
        <f>_xlfn.XLOOKUP(C27, csl_deposits!B:B, csl_deposits!A:A, "NA", 0,1)</f>
        <v>13</v>
      </c>
      <c r="C27" t="s">
        <v>69</v>
      </c>
      <c r="E27" t="s">
        <v>1190</v>
      </c>
      <c r="F27" t="s">
        <v>1009</v>
      </c>
      <c r="G27" t="s">
        <v>0</v>
      </c>
      <c r="H27" t="s">
        <v>1185</v>
      </c>
      <c r="I27" t="s">
        <v>70</v>
      </c>
      <c r="J27" t="s">
        <v>6</v>
      </c>
      <c r="K27" t="s">
        <v>7</v>
      </c>
      <c r="L27" s="5">
        <v>574.70000000000005</v>
      </c>
      <c r="M27" s="5">
        <v>3</v>
      </c>
      <c r="P27" t="s">
        <v>71</v>
      </c>
      <c r="Q27" t="s">
        <v>9</v>
      </c>
      <c r="R27" s="3"/>
      <c r="S27" s="5">
        <v>574.70000000000005</v>
      </c>
      <c r="T27" s="5">
        <v>3</v>
      </c>
      <c r="W27">
        <v>0.73</v>
      </c>
      <c r="X27" t="s">
        <v>1011</v>
      </c>
      <c r="Z27" t="s">
        <v>72</v>
      </c>
      <c r="AB27" t="s">
        <v>73</v>
      </c>
      <c r="AC27" t="s">
        <v>73</v>
      </c>
      <c r="AF27" t="s">
        <v>1010</v>
      </c>
      <c r="AG27" t="s">
        <v>74</v>
      </c>
      <c r="AH27" t="s">
        <v>75</v>
      </c>
      <c r="AI27" t="s">
        <v>76</v>
      </c>
      <c r="AJ27" t="s">
        <v>77</v>
      </c>
    </row>
    <row r="28" spans="1:36" x14ac:dyDescent="0.35">
      <c r="A28">
        <v>27</v>
      </c>
      <c r="B28">
        <f>_xlfn.XLOOKUP(C28, csl_deposits!B:B, csl_deposits!A:A, "NA", 0,1)</f>
        <v>13</v>
      </c>
      <c r="C28" t="s">
        <v>69</v>
      </c>
      <c r="D28" t="s">
        <v>78</v>
      </c>
      <c r="E28" t="s">
        <v>1188</v>
      </c>
      <c r="F28" t="s">
        <v>1079</v>
      </c>
      <c r="G28" t="s">
        <v>0</v>
      </c>
      <c r="H28" t="s">
        <v>1185</v>
      </c>
      <c r="I28" t="s">
        <v>79</v>
      </c>
      <c r="J28" t="s">
        <v>0</v>
      </c>
      <c r="K28" t="s">
        <v>7</v>
      </c>
      <c r="L28">
        <v>654.4</v>
      </c>
      <c r="M28">
        <v>4.3</v>
      </c>
      <c r="P28" t="s">
        <v>71</v>
      </c>
      <c r="Q28" t="s">
        <v>25</v>
      </c>
      <c r="S28">
        <v>654.4</v>
      </c>
      <c r="T28">
        <v>4.3</v>
      </c>
      <c r="W28">
        <v>1.77</v>
      </c>
      <c r="X28" t="s">
        <v>1080</v>
      </c>
      <c r="Z28" t="s">
        <v>72</v>
      </c>
      <c r="AB28" t="s">
        <v>69</v>
      </c>
      <c r="AG28" t="s">
        <v>77</v>
      </c>
      <c r="AH28" t="s">
        <v>75</v>
      </c>
      <c r="AI28" t="s">
        <v>74</v>
      </c>
      <c r="AJ28" t="s">
        <v>76</v>
      </c>
    </row>
    <row r="29" spans="1:36" x14ac:dyDescent="0.35">
      <c r="A29">
        <v>28</v>
      </c>
      <c r="B29">
        <f>_xlfn.XLOOKUP(C29, csl_deposits!B:B, csl_deposits!A:A, "NA", 0,1)</f>
        <v>13</v>
      </c>
      <c r="C29" t="s">
        <v>69</v>
      </c>
      <c r="D29" t="s">
        <v>80</v>
      </c>
      <c r="E29" t="s">
        <v>1188</v>
      </c>
      <c r="F29" t="s">
        <v>1081</v>
      </c>
      <c r="G29" t="s">
        <v>0</v>
      </c>
      <c r="H29" t="s">
        <v>1185</v>
      </c>
      <c r="I29" t="s">
        <v>24</v>
      </c>
      <c r="J29" t="s">
        <v>0</v>
      </c>
      <c r="K29" t="s">
        <v>7</v>
      </c>
      <c r="L29">
        <v>644.4</v>
      </c>
      <c r="M29">
        <v>6.5</v>
      </c>
      <c r="P29" t="s">
        <v>71</v>
      </c>
      <c r="Q29" t="s">
        <v>25</v>
      </c>
      <c r="S29">
        <v>644.4</v>
      </c>
      <c r="T29">
        <v>6.5</v>
      </c>
      <c r="W29">
        <v>3.08</v>
      </c>
      <c r="X29" t="s">
        <v>1082</v>
      </c>
      <c r="Z29" t="s">
        <v>72</v>
      </c>
      <c r="AB29" t="s">
        <v>69</v>
      </c>
      <c r="AG29" t="s">
        <v>77</v>
      </c>
      <c r="AH29" t="s">
        <v>75</v>
      </c>
      <c r="AI29" t="s">
        <v>74</v>
      </c>
      <c r="AJ29" t="s">
        <v>76</v>
      </c>
    </row>
    <row r="30" spans="1:36" x14ac:dyDescent="0.35">
      <c r="A30">
        <v>29</v>
      </c>
      <c r="B30">
        <f>_xlfn.XLOOKUP(C30, csl_deposits!B:B, csl_deposits!A:A, "NA", 0,1)</f>
        <v>13</v>
      </c>
      <c r="C30" t="s">
        <v>69</v>
      </c>
      <c r="D30" t="s">
        <v>81</v>
      </c>
      <c r="E30" t="s">
        <v>1188</v>
      </c>
      <c r="F30" t="s">
        <v>1083</v>
      </c>
      <c r="G30" t="s">
        <v>0</v>
      </c>
      <c r="H30" t="s">
        <v>1185</v>
      </c>
      <c r="I30" t="s">
        <v>24</v>
      </c>
      <c r="J30" t="s">
        <v>0</v>
      </c>
      <c r="K30" t="s">
        <v>7</v>
      </c>
      <c r="L30">
        <v>647.4</v>
      </c>
      <c r="M30">
        <v>6.2</v>
      </c>
      <c r="P30" t="s">
        <v>71</v>
      </c>
      <c r="Q30" t="s">
        <v>25</v>
      </c>
      <c r="S30">
        <v>647.4</v>
      </c>
      <c r="T30">
        <v>6.2</v>
      </c>
      <c r="W30">
        <v>2.81</v>
      </c>
      <c r="X30" t="s">
        <v>1084</v>
      </c>
      <c r="Z30" t="s">
        <v>72</v>
      </c>
      <c r="AB30" t="s">
        <v>69</v>
      </c>
      <c r="AG30" t="s">
        <v>77</v>
      </c>
      <c r="AH30" t="s">
        <v>75</v>
      </c>
      <c r="AI30" t="s">
        <v>74</v>
      </c>
      <c r="AJ30" t="s">
        <v>76</v>
      </c>
    </row>
    <row r="31" spans="1:36" x14ac:dyDescent="0.35">
      <c r="A31">
        <v>30</v>
      </c>
      <c r="B31">
        <f>_xlfn.XLOOKUP(C31, csl_deposits!B:B, csl_deposits!A:A, "NA", 0,1)</f>
        <v>13</v>
      </c>
      <c r="C31" t="s">
        <v>69</v>
      </c>
      <c r="D31" t="s">
        <v>82</v>
      </c>
      <c r="E31" t="s">
        <v>1188</v>
      </c>
      <c r="F31" t="s">
        <v>1085</v>
      </c>
      <c r="G31" t="s">
        <v>0</v>
      </c>
      <c r="H31" t="s">
        <v>1185</v>
      </c>
      <c r="I31" t="s">
        <v>24</v>
      </c>
      <c r="J31" t="s">
        <v>0</v>
      </c>
      <c r="K31" t="s">
        <v>7</v>
      </c>
      <c r="L31">
        <v>638</v>
      </c>
      <c r="M31">
        <v>2.5</v>
      </c>
      <c r="P31" t="s">
        <v>71</v>
      </c>
      <c r="Q31" t="s">
        <v>25</v>
      </c>
      <c r="S31">
        <v>638</v>
      </c>
      <c r="T31">
        <v>2.5</v>
      </c>
      <c r="W31">
        <v>1.31</v>
      </c>
      <c r="X31" t="s">
        <v>1086</v>
      </c>
      <c r="Z31" t="s">
        <v>72</v>
      </c>
      <c r="AB31" t="s">
        <v>69</v>
      </c>
      <c r="AG31" t="s">
        <v>77</v>
      </c>
      <c r="AH31" t="s">
        <v>75</v>
      </c>
      <c r="AI31" t="s">
        <v>74</v>
      </c>
      <c r="AJ31" t="s">
        <v>76</v>
      </c>
    </row>
    <row r="32" spans="1:36" x14ac:dyDescent="0.35">
      <c r="A32">
        <v>31</v>
      </c>
      <c r="B32">
        <f>_xlfn.XLOOKUP(C32, csl_deposits!B:B, csl_deposits!A:A, "NA", 0,1)</f>
        <v>13</v>
      </c>
      <c r="C32" t="s">
        <v>69</v>
      </c>
      <c r="D32" t="s">
        <v>82</v>
      </c>
      <c r="E32" t="s">
        <v>1188</v>
      </c>
      <c r="F32" t="s">
        <v>1085</v>
      </c>
      <c r="G32" t="s">
        <v>0</v>
      </c>
      <c r="H32" t="s">
        <v>1185</v>
      </c>
      <c r="I32" t="s">
        <v>24</v>
      </c>
      <c r="J32" t="s">
        <v>0</v>
      </c>
      <c r="K32" t="s">
        <v>7</v>
      </c>
      <c r="L32">
        <v>636.41</v>
      </c>
      <c r="M32">
        <v>0.34</v>
      </c>
      <c r="P32" t="s">
        <v>32</v>
      </c>
      <c r="Q32" t="s">
        <v>25</v>
      </c>
      <c r="S32">
        <v>636.41</v>
      </c>
      <c r="T32">
        <v>0.34</v>
      </c>
      <c r="U32">
        <v>0.45</v>
      </c>
      <c r="W32">
        <v>1.5</v>
      </c>
      <c r="X32" t="s">
        <v>1087</v>
      </c>
      <c r="Z32" t="s">
        <v>72</v>
      </c>
      <c r="AB32" t="s">
        <v>69</v>
      </c>
      <c r="AG32" t="s">
        <v>77</v>
      </c>
    </row>
    <row r="33" spans="1:36" x14ac:dyDescent="0.35">
      <c r="A33">
        <v>32</v>
      </c>
      <c r="B33">
        <f>_xlfn.XLOOKUP(C33, csl_deposits!B:B, csl_deposits!A:A, "NA", 0,1)</f>
        <v>14</v>
      </c>
      <c r="C33" t="s">
        <v>582</v>
      </c>
      <c r="E33" t="s">
        <v>1184</v>
      </c>
      <c r="F33" t="s">
        <v>1012</v>
      </c>
      <c r="G33" t="s">
        <v>0</v>
      </c>
      <c r="H33" t="s">
        <v>1185</v>
      </c>
      <c r="I33" t="s">
        <v>84</v>
      </c>
      <c r="J33" t="s">
        <v>13</v>
      </c>
      <c r="K33" t="s">
        <v>7</v>
      </c>
      <c r="L33" s="5">
        <v>582.1</v>
      </c>
      <c r="M33" s="5">
        <v>4.0999999999999996</v>
      </c>
      <c r="P33" t="s">
        <v>71</v>
      </c>
      <c r="Q33" t="s">
        <v>9</v>
      </c>
      <c r="R33" s="3"/>
      <c r="S33" s="5">
        <v>582.1</v>
      </c>
      <c r="T33" s="5">
        <v>4.0999999999999996</v>
      </c>
      <c r="W33">
        <v>0.94</v>
      </c>
      <c r="X33" t="s">
        <v>1013</v>
      </c>
      <c r="Z33" t="s">
        <v>85</v>
      </c>
      <c r="AA33" t="s">
        <v>86</v>
      </c>
      <c r="AF33" t="s">
        <v>1219</v>
      </c>
      <c r="AG33" t="s">
        <v>74</v>
      </c>
      <c r="AH33" t="s">
        <v>75</v>
      </c>
      <c r="AI33" t="s">
        <v>77</v>
      </c>
    </row>
    <row r="34" spans="1:36" x14ac:dyDescent="0.35">
      <c r="A34">
        <v>33</v>
      </c>
      <c r="B34">
        <f>_xlfn.XLOOKUP(C34, csl_deposits!B:B, csl_deposits!A:A, "NA", 0,1)</f>
        <v>14</v>
      </c>
      <c r="C34" t="s">
        <v>582</v>
      </c>
      <c r="D34" t="s">
        <v>1538</v>
      </c>
      <c r="E34" t="s">
        <v>1188</v>
      </c>
      <c r="F34" t="s">
        <v>1545</v>
      </c>
      <c r="G34" t="s">
        <v>2</v>
      </c>
      <c r="H34" t="s">
        <v>1185</v>
      </c>
      <c r="I34" t="s">
        <v>84</v>
      </c>
      <c r="J34" t="s">
        <v>13</v>
      </c>
      <c r="K34" t="s">
        <v>7</v>
      </c>
      <c r="L34">
        <v>578.55999999999995</v>
      </c>
      <c r="M34">
        <v>0.23</v>
      </c>
      <c r="P34" t="s">
        <v>8</v>
      </c>
      <c r="Q34" t="s">
        <v>9</v>
      </c>
      <c r="S34">
        <v>578.86</v>
      </c>
      <c r="T34">
        <v>0.23</v>
      </c>
      <c r="W34">
        <v>1.1000000000000001</v>
      </c>
      <c r="X34" t="s">
        <v>1541</v>
      </c>
      <c r="Z34" t="s">
        <v>85</v>
      </c>
      <c r="AA34" t="s">
        <v>86</v>
      </c>
      <c r="AB34" t="s">
        <v>1542</v>
      </c>
      <c r="AG34" t="s">
        <v>1544</v>
      </c>
    </row>
    <row r="35" spans="1:36" x14ac:dyDescent="0.35">
      <c r="A35">
        <v>34</v>
      </c>
      <c r="B35">
        <f>_xlfn.XLOOKUP(C35, csl_deposits!B:B, csl_deposits!A:A, "NA", 0,1)</f>
        <v>14</v>
      </c>
      <c r="C35" t="s">
        <v>582</v>
      </c>
      <c r="D35" t="s">
        <v>1539</v>
      </c>
      <c r="E35" t="s">
        <v>1184</v>
      </c>
      <c r="F35" t="s">
        <v>1546</v>
      </c>
      <c r="G35" t="s">
        <v>0</v>
      </c>
      <c r="H35" t="s">
        <v>1185</v>
      </c>
      <c r="I35" t="s">
        <v>84</v>
      </c>
      <c r="J35" t="s">
        <v>13</v>
      </c>
      <c r="K35" t="s">
        <v>7</v>
      </c>
      <c r="L35">
        <v>579.20000000000005</v>
      </c>
      <c r="M35">
        <v>0.09</v>
      </c>
      <c r="P35" t="s">
        <v>8</v>
      </c>
      <c r="Q35" t="s">
        <v>9</v>
      </c>
      <c r="S35">
        <v>579.20000000000005</v>
      </c>
      <c r="T35">
        <v>0.09</v>
      </c>
      <c r="W35">
        <v>1.2</v>
      </c>
      <c r="X35" t="s">
        <v>1540</v>
      </c>
      <c r="Z35" t="s">
        <v>85</v>
      </c>
      <c r="AA35" t="s">
        <v>86</v>
      </c>
      <c r="AB35" t="s">
        <v>1543</v>
      </c>
      <c r="AG35" t="s">
        <v>1544</v>
      </c>
    </row>
    <row r="36" spans="1:36" x14ac:dyDescent="0.35">
      <c r="A36">
        <v>35</v>
      </c>
      <c r="B36">
        <f>_xlfn.XLOOKUP(C36, csl_deposits!B:B, csl_deposits!A:A, "NA", 0,1)</f>
        <v>15</v>
      </c>
      <c r="C36" t="s">
        <v>589</v>
      </c>
      <c r="E36" t="s">
        <v>1190</v>
      </c>
      <c r="F36" t="s">
        <v>1220</v>
      </c>
      <c r="G36" t="s">
        <v>1</v>
      </c>
      <c r="H36" t="s">
        <v>1022</v>
      </c>
      <c r="J36" t="s">
        <v>1</v>
      </c>
      <c r="K36" t="s">
        <v>1198</v>
      </c>
      <c r="L36">
        <v>574</v>
      </c>
      <c r="M36">
        <v>4.7</v>
      </c>
      <c r="N36" t="s">
        <v>1007</v>
      </c>
      <c r="O36" t="s">
        <v>1206</v>
      </c>
      <c r="AB36" t="s">
        <v>589</v>
      </c>
      <c r="AG36" t="s">
        <v>1098</v>
      </c>
      <c r="AH36" t="s">
        <v>463</v>
      </c>
      <c r="AI36" t="s">
        <v>29</v>
      </c>
    </row>
    <row r="37" spans="1:36" x14ac:dyDescent="0.35">
      <c r="A37">
        <v>36</v>
      </c>
      <c r="B37">
        <f>_xlfn.XLOOKUP(C37, csl_deposits!B:B, csl_deposits!A:A, "NA", 0,1)</f>
        <v>15</v>
      </c>
      <c r="C37" t="s">
        <v>589</v>
      </c>
      <c r="E37" t="s">
        <v>1184</v>
      </c>
      <c r="F37" t="s">
        <v>1221</v>
      </c>
      <c r="G37" t="s">
        <v>0</v>
      </c>
      <c r="H37" t="s">
        <v>1208</v>
      </c>
      <c r="J37" t="s">
        <v>0</v>
      </c>
      <c r="L37">
        <v>635</v>
      </c>
      <c r="AG37" t="s">
        <v>1098</v>
      </c>
      <c r="AH37" t="s">
        <v>463</v>
      </c>
      <c r="AI37" t="s">
        <v>29</v>
      </c>
    </row>
    <row r="38" spans="1:36" x14ac:dyDescent="0.35">
      <c r="A38">
        <v>37</v>
      </c>
      <c r="B38">
        <f>_xlfn.XLOOKUP(C38, csl_deposits!B:B, csl_deposits!A:A, "NA", 0,1)</f>
        <v>16</v>
      </c>
      <c r="C38" t="s">
        <v>592</v>
      </c>
      <c r="E38" t="s">
        <v>1190</v>
      </c>
      <c r="F38" t="s">
        <v>1222</v>
      </c>
      <c r="G38" t="s">
        <v>1</v>
      </c>
      <c r="H38" t="s">
        <v>1191</v>
      </c>
      <c r="I38" t="s">
        <v>79</v>
      </c>
      <c r="J38" t="s">
        <v>1</v>
      </c>
      <c r="L38">
        <v>538.79999999999995</v>
      </c>
      <c r="AB38" t="s">
        <v>89</v>
      </c>
      <c r="AD38" t="s">
        <v>1223</v>
      </c>
      <c r="AG38" t="s">
        <v>93</v>
      </c>
    </row>
    <row r="39" spans="1:36" x14ac:dyDescent="0.35">
      <c r="A39">
        <v>38</v>
      </c>
      <c r="B39">
        <f>_xlfn.XLOOKUP(C39, csl_deposits!B:B, csl_deposits!A:A, "NA", 0,1)</f>
        <v>16</v>
      </c>
      <c r="C39" t="s">
        <v>592</v>
      </c>
      <c r="D39" t="s">
        <v>87</v>
      </c>
      <c r="E39" t="s">
        <v>1184</v>
      </c>
      <c r="F39" s="3"/>
      <c r="G39" t="s">
        <v>0</v>
      </c>
      <c r="H39" t="s">
        <v>1185</v>
      </c>
      <c r="I39" t="s">
        <v>88</v>
      </c>
      <c r="J39" t="s">
        <v>13</v>
      </c>
      <c r="K39" t="s">
        <v>7</v>
      </c>
      <c r="L39" s="5">
        <v>560</v>
      </c>
      <c r="M39" s="5">
        <v>4</v>
      </c>
      <c r="P39" t="s">
        <v>14</v>
      </c>
      <c r="Q39" t="s">
        <v>9</v>
      </c>
      <c r="R39" s="3"/>
      <c r="S39" s="5">
        <v>560</v>
      </c>
      <c r="T39" s="5">
        <v>4</v>
      </c>
      <c r="W39">
        <v>3.5999999999999997E-2</v>
      </c>
      <c r="X39" t="s">
        <v>1044</v>
      </c>
      <c r="Z39" t="s">
        <v>15</v>
      </c>
      <c r="AB39" t="s">
        <v>89</v>
      </c>
      <c r="AC39" t="s">
        <v>90</v>
      </c>
      <c r="AD39" t="s">
        <v>91</v>
      </c>
      <c r="AE39" t="s">
        <v>92</v>
      </c>
      <c r="AF39" t="s">
        <v>1043</v>
      </c>
      <c r="AG39" t="s">
        <v>93</v>
      </c>
    </row>
    <row r="40" spans="1:36" x14ac:dyDescent="0.35">
      <c r="A40">
        <v>39</v>
      </c>
      <c r="B40">
        <f>_xlfn.XLOOKUP(C40, csl_deposits!B:B, csl_deposits!A:A, "NA", 0,1)</f>
        <v>16</v>
      </c>
      <c r="C40" t="s">
        <v>592</v>
      </c>
      <c r="D40" t="s">
        <v>94</v>
      </c>
      <c r="E40" t="s">
        <v>1184</v>
      </c>
      <c r="F40" s="3"/>
      <c r="G40" t="s">
        <v>0</v>
      </c>
      <c r="H40" t="s">
        <v>1185</v>
      </c>
      <c r="I40" t="s">
        <v>79</v>
      </c>
      <c r="J40" t="s">
        <v>0</v>
      </c>
      <c r="K40" t="s">
        <v>7</v>
      </c>
      <c r="L40" s="5">
        <v>570</v>
      </c>
      <c r="M40" s="5">
        <v>4.5999999999999996</v>
      </c>
      <c r="P40" t="s">
        <v>71</v>
      </c>
      <c r="Q40" t="s">
        <v>25</v>
      </c>
      <c r="R40" s="3"/>
      <c r="S40" s="5">
        <v>570</v>
      </c>
      <c r="T40" s="5">
        <v>4.5999999999999996</v>
      </c>
      <c r="X40" t="s">
        <v>1046</v>
      </c>
      <c r="Z40" t="s">
        <v>15</v>
      </c>
      <c r="AB40" t="s">
        <v>89</v>
      </c>
      <c r="AF40" t="s">
        <v>1045</v>
      </c>
      <c r="AG40" t="s">
        <v>95</v>
      </c>
    </row>
    <row r="41" spans="1:36" x14ac:dyDescent="0.35">
      <c r="A41">
        <v>40</v>
      </c>
      <c r="B41">
        <f>_xlfn.XLOOKUP(C41, csl_deposits!B:B, csl_deposits!A:A, "NA", 0,1)</f>
        <v>16</v>
      </c>
      <c r="C41" t="s">
        <v>592</v>
      </c>
      <c r="D41" t="s">
        <v>96</v>
      </c>
      <c r="E41" t="s">
        <v>1184</v>
      </c>
      <c r="F41" s="3"/>
      <c r="G41" t="s">
        <v>0</v>
      </c>
      <c r="H41" t="s">
        <v>1185</v>
      </c>
      <c r="I41" t="s">
        <v>79</v>
      </c>
      <c r="J41" t="s">
        <v>0</v>
      </c>
      <c r="K41" t="s">
        <v>7</v>
      </c>
      <c r="L41" s="5">
        <v>599</v>
      </c>
      <c r="M41" s="5">
        <v>4.8</v>
      </c>
      <c r="P41" t="s">
        <v>71</v>
      </c>
      <c r="Q41" t="s">
        <v>25</v>
      </c>
      <c r="R41" s="3"/>
      <c r="S41" s="5">
        <v>599</v>
      </c>
      <c r="T41" s="5">
        <v>4.8</v>
      </c>
      <c r="X41" t="s">
        <v>1047</v>
      </c>
      <c r="Z41" t="s">
        <v>15</v>
      </c>
      <c r="AB41" t="s">
        <v>89</v>
      </c>
      <c r="AF41" t="s">
        <v>1045</v>
      </c>
      <c r="AG41" t="s">
        <v>95</v>
      </c>
    </row>
    <row r="42" spans="1:36" x14ac:dyDescent="0.35">
      <c r="A42">
        <v>41</v>
      </c>
      <c r="B42">
        <f>_xlfn.XLOOKUP(C42, csl_deposits!B:B, csl_deposits!A:A, "NA", 0,1)</f>
        <v>18</v>
      </c>
      <c r="C42" t="s">
        <v>603</v>
      </c>
      <c r="E42" t="s">
        <v>1190</v>
      </c>
      <c r="F42" t="s">
        <v>1227</v>
      </c>
      <c r="G42" t="s">
        <v>1</v>
      </c>
      <c r="H42" t="s">
        <v>1022</v>
      </c>
      <c r="J42" t="s">
        <v>1</v>
      </c>
      <c r="K42" t="s">
        <v>1198</v>
      </c>
      <c r="L42">
        <v>574</v>
      </c>
      <c r="M42">
        <v>4.7</v>
      </c>
      <c r="N42" t="s">
        <v>1226</v>
      </c>
      <c r="O42" t="s">
        <v>1206</v>
      </c>
      <c r="AB42" t="s">
        <v>98</v>
      </c>
      <c r="AG42" t="s">
        <v>467</v>
      </c>
      <c r="AH42" t="s">
        <v>101</v>
      </c>
      <c r="AI42" t="s">
        <v>463</v>
      </c>
      <c r="AJ42" t="s">
        <v>29</v>
      </c>
    </row>
    <row r="43" spans="1:36" x14ac:dyDescent="0.35">
      <c r="A43">
        <v>42</v>
      </c>
      <c r="B43">
        <f>_xlfn.XLOOKUP(C43, csl_deposits!B:B, csl_deposits!A:A, "NA", 0,1)</f>
        <v>18</v>
      </c>
      <c r="C43" t="s">
        <v>603</v>
      </c>
      <c r="E43" t="s">
        <v>1190</v>
      </c>
      <c r="F43" t="s">
        <v>1227</v>
      </c>
      <c r="G43" t="s">
        <v>1</v>
      </c>
      <c r="H43" t="s">
        <v>1022</v>
      </c>
      <c r="J43" t="s">
        <v>1</v>
      </c>
      <c r="K43" t="s">
        <v>1198</v>
      </c>
      <c r="L43">
        <v>574</v>
      </c>
      <c r="M43">
        <v>4.7</v>
      </c>
      <c r="N43" t="s">
        <v>1226</v>
      </c>
      <c r="O43" t="s">
        <v>1206</v>
      </c>
      <c r="AB43" t="s">
        <v>98</v>
      </c>
      <c r="AG43" t="s">
        <v>467</v>
      </c>
      <c r="AH43" t="s">
        <v>101</v>
      </c>
      <c r="AI43" t="s">
        <v>463</v>
      </c>
      <c r="AJ43" t="s">
        <v>29</v>
      </c>
    </row>
    <row r="44" spans="1:36" x14ac:dyDescent="0.35">
      <c r="A44">
        <v>43</v>
      </c>
      <c r="B44">
        <f>_xlfn.XLOOKUP(C44, csl_deposits!B:B, csl_deposits!A:A, "NA", 0,1)</f>
        <v>18</v>
      </c>
      <c r="C44" t="s">
        <v>603</v>
      </c>
      <c r="E44" t="s">
        <v>1190</v>
      </c>
      <c r="F44" t="s">
        <v>1227</v>
      </c>
      <c r="G44" t="s">
        <v>1</v>
      </c>
      <c r="H44" t="s">
        <v>1022</v>
      </c>
      <c r="J44" t="s">
        <v>1</v>
      </c>
      <c r="K44" t="s">
        <v>1198</v>
      </c>
      <c r="L44">
        <v>574</v>
      </c>
      <c r="M44">
        <v>4.7</v>
      </c>
      <c r="N44" t="s">
        <v>1226</v>
      </c>
      <c r="O44" t="s">
        <v>1206</v>
      </c>
      <c r="AB44" t="s">
        <v>98</v>
      </c>
      <c r="AG44" t="s">
        <v>467</v>
      </c>
      <c r="AH44" t="s">
        <v>101</v>
      </c>
      <c r="AI44" t="s">
        <v>463</v>
      </c>
      <c r="AJ44" t="s">
        <v>29</v>
      </c>
    </row>
    <row r="45" spans="1:36" x14ac:dyDescent="0.35">
      <c r="A45">
        <v>44</v>
      </c>
      <c r="B45">
        <f>_xlfn.XLOOKUP(C45, csl_deposits!B:B, csl_deposits!A:A, "NA", 0,1)</f>
        <v>18</v>
      </c>
      <c r="C45" t="s">
        <v>603</v>
      </c>
      <c r="E45" t="s">
        <v>1190</v>
      </c>
      <c r="F45" t="s">
        <v>1229</v>
      </c>
      <c r="G45" t="s">
        <v>1</v>
      </c>
      <c r="H45" t="s">
        <v>1022</v>
      </c>
      <c r="J45" t="s">
        <v>1</v>
      </c>
      <c r="K45" t="s">
        <v>1198</v>
      </c>
      <c r="L45">
        <v>580</v>
      </c>
      <c r="M45">
        <v>2</v>
      </c>
      <c r="N45" t="s">
        <v>1228</v>
      </c>
      <c r="O45" t="s">
        <v>1206</v>
      </c>
      <c r="AB45" t="s">
        <v>98</v>
      </c>
      <c r="AG45" t="s">
        <v>467</v>
      </c>
      <c r="AH45" t="s">
        <v>101</v>
      </c>
      <c r="AI45" t="s">
        <v>29</v>
      </c>
    </row>
    <row r="46" spans="1:36" x14ac:dyDescent="0.35">
      <c r="A46">
        <v>45</v>
      </c>
      <c r="B46">
        <f>_xlfn.XLOOKUP(C46, csl_deposits!B:B, csl_deposits!A:A, "NA", 0,1)</f>
        <v>18</v>
      </c>
      <c r="C46" t="s">
        <v>603</v>
      </c>
      <c r="E46" t="s">
        <v>1190</v>
      </c>
      <c r="F46" t="s">
        <v>1229</v>
      </c>
      <c r="G46" t="s">
        <v>1</v>
      </c>
      <c r="H46" t="s">
        <v>1022</v>
      </c>
      <c r="J46" t="s">
        <v>1</v>
      </c>
      <c r="K46" t="s">
        <v>1198</v>
      </c>
      <c r="L46">
        <v>580</v>
      </c>
      <c r="M46">
        <v>2</v>
      </c>
      <c r="N46" t="s">
        <v>1228</v>
      </c>
      <c r="O46" t="s">
        <v>1206</v>
      </c>
      <c r="AB46" t="s">
        <v>98</v>
      </c>
      <c r="AG46" t="s">
        <v>467</v>
      </c>
      <c r="AH46" t="s">
        <v>101</v>
      </c>
      <c r="AI46" t="s">
        <v>29</v>
      </c>
    </row>
    <row r="47" spans="1:36" x14ac:dyDescent="0.35">
      <c r="A47">
        <v>46</v>
      </c>
      <c r="B47">
        <f>_xlfn.XLOOKUP(C47, csl_deposits!B:B, csl_deposits!A:A, "NA", 0,1)</f>
        <v>18</v>
      </c>
      <c r="C47" t="s">
        <v>603</v>
      </c>
      <c r="E47" t="s">
        <v>1190</v>
      </c>
      <c r="F47" t="s">
        <v>1229</v>
      </c>
      <c r="G47" t="s">
        <v>1</v>
      </c>
      <c r="H47" t="s">
        <v>1022</v>
      </c>
      <c r="J47" t="s">
        <v>1</v>
      </c>
      <c r="K47" t="s">
        <v>1198</v>
      </c>
      <c r="L47">
        <v>580</v>
      </c>
      <c r="M47">
        <v>2</v>
      </c>
      <c r="N47" t="s">
        <v>1228</v>
      </c>
      <c r="O47" t="s">
        <v>1206</v>
      </c>
      <c r="AB47" t="s">
        <v>98</v>
      </c>
      <c r="AG47" t="s">
        <v>467</v>
      </c>
      <c r="AH47" t="s">
        <v>101</v>
      </c>
      <c r="AI47" t="s">
        <v>29</v>
      </c>
    </row>
    <row r="48" spans="1:36" x14ac:dyDescent="0.35">
      <c r="A48">
        <v>47</v>
      </c>
      <c r="B48">
        <f>_xlfn.XLOOKUP(C48, csl_deposits!B:B, csl_deposits!A:A, "NA", 0,1)</f>
        <v>18</v>
      </c>
      <c r="C48" t="s">
        <v>603</v>
      </c>
      <c r="D48" t="s">
        <v>97</v>
      </c>
      <c r="E48" t="s">
        <v>1190</v>
      </c>
      <c r="F48" s="3"/>
      <c r="G48" t="s">
        <v>1</v>
      </c>
      <c r="H48" t="s">
        <v>1185</v>
      </c>
      <c r="I48" t="s">
        <v>88</v>
      </c>
      <c r="J48" t="s">
        <v>13</v>
      </c>
      <c r="K48" t="s">
        <v>7</v>
      </c>
      <c r="L48">
        <v>550.1</v>
      </c>
      <c r="M48">
        <v>0.6</v>
      </c>
      <c r="P48" t="s">
        <v>32</v>
      </c>
      <c r="Q48" t="s">
        <v>9</v>
      </c>
      <c r="S48">
        <v>550.14</v>
      </c>
      <c r="T48">
        <v>0.16</v>
      </c>
      <c r="U48">
        <v>0.24</v>
      </c>
      <c r="V48">
        <v>0.63</v>
      </c>
      <c r="W48">
        <v>202</v>
      </c>
      <c r="X48" t="s">
        <v>1224</v>
      </c>
      <c r="AB48" t="s">
        <v>98</v>
      </c>
      <c r="AC48" t="s">
        <v>99</v>
      </c>
      <c r="AF48" t="s">
        <v>1225</v>
      </c>
      <c r="AG48" t="s">
        <v>29</v>
      </c>
    </row>
    <row r="49" spans="1:36" x14ac:dyDescent="0.35">
      <c r="A49">
        <v>48</v>
      </c>
      <c r="B49">
        <f>_xlfn.XLOOKUP(C49, csl_deposits!B:B, csl_deposits!A:A, "NA", 0,1)</f>
        <v>18</v>
      </c>
      <c r="C49" t="s">
        <v>603</v>
      </c>
      <c r="D49" t="s">
        <v>109</v>
      </c>
      <c r="E49" t="s">
        <v>1184</v>
      </c>
      <c r="F49" t="s">
        <v>1234</v>
      </c>
      <c r="G49" t="s">
        <v>0</v>
      </c>
      <c r="H49" t="s">
        <v>1185</v>
      </c>
      <c r="I49" t="s">
        <v>88</v>
      </c>
      <c r="J49" t="s">
        <v>13</v>
      </c>
      <c r="K49" t="s">
        <v>7</v>
      </c>
      <c r="L49">
        <v>609</v>
      </c>
      <c r="M49">
        <v>5</v>
      </c>
      <c r="P49" t="s">
        <v>110</v>
      </c>
      <c r="Q49" t="s">
        <v>9</v>
      </c>
      <c r="S49">
        <v>609</v>
      </c>
      <c r="T49">
        <v>5</v>
      </c>
      <c r="W49">
        <v>0.34</v>
      </c>
      <c r="X49" t="s">
        <v>1233</v>
      </c>
      <c r="Y49" t="s">
        <v>111</v>
      </c>
      <c r="AB49" t="s">
        <v>98</v>
      </c>
      <c r="AD49" t="s">
        <v>112</v>
      </c>
      <c r="AG49" t="s">
        <v>113</v>
      </c>
    </row>
    <row r="50" spans="1:36" x14ac:dyDescent="0.35">
      <c r="A50">
        <v>49</v>
      </c>
      <c r="B50">
        <f>_xlfn.XLOOKUP(C50, csl_deposits!B:B, csl_deposits!A:A, "NA", 0,1)</f>
        <v>18</v>
      </c>
      <c r="C50" t="s">
        <v>603</v>
      </c>
      <c r="D50" t="s">
        <v>114</v>
      </c>
      <c r="E50" t="s">
        <v>1184</v>
      </c>
      <c r="F50" t="s">
        <v>1234</v>
      </c>
      <c r="G50" t="s">
        <v>0</v>
      </c>
      <c r="H50" t="s">
        <v>1185</v>
      </c>
      <c r="I50" t="s">
        <v>88</v>
      </c>
      <c r="J50" t="s">
        <v>0</v>
      </c>
      <c r="K50" t="s">
        <v>7</v>
      </c>
      <c r="L50">
        <v>612.48</v>
      </c>
      <c r="M50">
        <v>0.94</v>
      </c>
      <c r="P50" t="s">
        <v>32</v>
      </c>
      <c r="Q50" t="s">
        <v>25</v>
      </c>
      <c r="S50">
        <v>612.48</v>
      </c>
      <c r="T50">
        <v>0.62</v>
      </c>
      <c r="U50">
        <v>0.67</v>
      </c>
      <c r="V50">
        <v>0.94</v>
      </c>
      <c r="X50" t="s">
        <v>1235</v>
      </c>
      <c r="Y50" t="s">
        <v>111</v>
      </c>
      <c r="AB50" t="s">
        <v>98</v>
      </c>
      <c r="AD50" t="s">
        <v>112</v>
      </c>
      <c r="AG50" t="s">
        <v>29</v>
      </c>
    </row>
    <row r="51" spans="1:36" x14ac:dyDescent="0.35">
      <c r="A51">
        <v>50</v>
      </c>
      <c r="B51">
        <f>_xlfn.XLOOKUP(C51, csl_deposits!B:B, csl_deposits!A:A, "NA", 0,1)</f>
        <v>18</v>
      </c>
      <c r="C51" t="s">
        <v>603</v>
      </c>
      <c r="D51" t="s">
        <v>102</v>
      </c>
      <c r="E51" t="s">
        <v>1188</v>
      </c>
      <c r="F51" t="s">
        <v>1231</v>
      </c>
      <c r="G51" t="s">
        <v>2</v>
      </c>
      <c r="H51" t="s">
        <v>1185</v>
      </c>
      <c r="I51" t="s">
        <v>104</v>
      </c>
      <c r="J51" t="s">
        <v>2</v>
      </c>
      <c r="K51" t="s">
        <v>105</v>
      </c>
      <c r="L51">
        <v>587.20000000000005</v>
      </c>
      <c r="M51">
        <v>3.6</v>
      </c>
      <c r="Q51" t="s">
        <v>104</v>
      </c>
      <c r="S51">
        <v>587.20000000000005</v>
      </c>
      <c r="T51">
        <v>3.6</v>
      </c>
      <c r="W51">
        <v>1.1599999999999999</v>
      </c>
      <c r="X51" t="s">
        <v>1230</v>
      </c>
      <c r="AB51" t="s">
        <v>98</v>
      </c>
      <c r="AC51" t="s">
        <v>106</v>
      </c>
      <c r="AF51" t="s">
        <v>1232</v>
      </c>
      <c r="AG51" t="s">
        <v>29</v>
      </c>
      <c r="AH51" t="s">
        <v>107</v>
      </c>
      <c r="AI51" t="s">
        <v>108</v>
      </c>
      <c r="AJ51" t="s">
        <v>101</v>
      </c>
    </row>
    <row r="52" spans="1:36" x14ac:dyDescent="0.35">
      <c r="A52">
        <v>51</v>
      </c>
      <c r="B52">
        <f>_xlfn.XLOOKUP(C52, csl_deposits!B:B, csl_deposits!A:A, "NA", 0,1)</f>
        <v>20</v>
      </c>
      <c r="C52" t="s">
        <v>606</v>
      </c>
      <c r="E52" t="s">
        <v>1190</v>
      </c>
      <c r="F52" s="3"/>
      <c r="G52" t="s">
        <v>1</v>
      </c>
      <c r="H52" t="s">
        <v>1185</v>
      </c>
      <c r="I52" t="s">
        <v>121</v>
      </c>
      <c r="J52" t="s">
        <v>6</v>
      </c>
      <c r="K52" t="s">
        <v>7</v>
      </c>
      <c r="L52" s="4">
        <v>513</v>
      </c>
      <c r="M52" s="4">
        <v>12</v>
      </c>
      <c r="P52" t="s">
        <v>71</v>
      </c>
      <c r="Q52" t="s">
        <v>9</v>
      </c>
      <c r="R52" s="3"/>
      <c r="S52" s="4">
        <v>513</v>
      </c>
      <c r="T52" s="4">
        <v>12</v>
      </c>
      <c r="X52" t="s">
        <v>1237</v>
      </c>
      <c r="Y52" s="3" t="s">
        <v>122</v>
      </c>
      <c r="AB52" s="3" t="s">
        <v>123</v>
      </c>
      <c r="AC52" s="3"/>
      <c r="AD52" s="3"/>
      <c r="AE52" s="3"/>
      <c r="AF52" s="3"/>
      <c r="AG52" t="s">
        <v>124</v>
      </c>
      <c r="AH52" t="s">
        <v>120</v>
      </c>
    </row>
    <row r="53" spans="1:36" x14ac:dyDescent="0.35">
      <c r="A53">
        <v>52</v>
      </c>
      <c r="B53">
        <f>_xlfn.XLOOKUP(C53, csl_deposits!B:B, csl_deposits!A:A, "NA", 0,1)</f>
        <v>20</v>
      </c>
      <c r="C53" t="s">
        <v>606</v>
      </c>
      <c r="E53" t="s">
        <v>1184</v>
      </c>
      <c r="F53" s="3"/>
      <c r="G53" t="s">
        <v>0</v>
      </c>
      <c r="H53" t="s">
        <v>1185</v>
      </c>
      <c r="I53" t="s">
        <v>115</v>
      </c>
      <c r="J53" t="s">
        <v>6</v>
      </c>
      <c r="K53" t="s">
        <v>7</v>
      </c>
      <c r="L53" s="4">
        <v>1857</v>
      </c>
      <c r="M53" s="4">
        <v>5</v>
      </c>
      <c r="Q53" t="s">
        <v>9</v>
      </c>
      <c r="R53" s="3"/>
      <c r="S53" s="4">
        <v>1857</v>
      </c>
      <c r="T53" s="4">
        <v>5</v>
      </c>
      <c r="X53" t="s">
        <v>1236</v>
      </c>
      <c r="Y53" s="3" t="s">
        <v>116</v>
      </c>
      <c r="Z53" t="s">
        <v>117</v>
      </c>
      <c r="AB53" s="3" t="s">
        <v>118</v>
      </c>
      <c r="AC53" s="3"/>
      <c r="AD53" s="3"/>
      <c r="AE53" s="3"/>
      <c r="AF53" s="3"/>
      <c r="AG53" s="3" t="s">
        <v>119</v>
      </c>
      <c r="AH53" s="3" t="s">
        <v>120</v>
      </c>
    </row>
    <row r="54" spans="1:36" x14ac:dyDescent="0.35">
      <c r="A54">
        <v>53</v>
      </c>
      <c r="B54">
        <f>_xlfn.XLOOKUP(C54, csl_deposits!B:B, csl_deposits!A:A, "NA", 0,1)</f>
        <v>22</v>
      </c>
      <c r="C54" t="s">
        <v>618</v>
      </c>
      <c r="E54" t="s">
        <v>1190</v>
      </c>
      <c r="F54" t="s">
        <v>1238</v>
      </c>
      <c r="G54" t="s">
        <v>1</v>
      </c>
      <c r="H54" t="s">
        <v>1191</v>
      </c>
      <c r="J54" t="s">
        <v>1</v>
      </c>
      <c r="L54">
        <v>538.79999999999995</v>
      </c>
      <c r="Y54" s="3"/>
      <c r="AB54" t="s">
        <v>1239</v>
      </c>
      <c r="AC54" t="s">
        <v>990</v>
      </c>
      <c r="AG54" t="s">
        <v>1240</v>
      </c>
      <c r="AH54" t="s">
        <v>1241</v>
      </c>
    </row>
    <row r="55" spans="1:36" x14ac:dyDescent="0.35">
      <c r="A55">
        <v>54</v>
      </c>
      <c r="B55">
        <f>_xlfn.XLOOKUP(C55, csl_deposits!B:B, csl_deposits!A:A, "NA", 0,1)</f>
        <v>24</v>
      </c>
      <c r="C55" t="s">
        <v>627</v>
      </c>
      <c r="E55" t="s">
        <v>1190</v>
      </c>
      <c r="F55" t="s">
        <v>1243</v>
      </c>
      <c r="G55" t="s">
        <v>1</v>
      </c>
      <c r="H55" t="s">
        <v>1185</v>
      </c>
      <c r="I55" t="s">
        <v>31</v>
      </c>
      <c r="J55" t="s">
        <v>13</v>
      </c>
      <c r="K55" t="s">
        <v>7</v>
      </c>
      <c r="L55">
        <v>571</v>
      </c>
      <c r="M55">
        <v>1</v>
      </c>
      <c r="P55" t="s">
        <v>125</v>
      </c>
      <c r="Q55" t="s">
        <v>9</v>
      </c>
      <c r="S55">
        <v>571</v>
      </c>
      <c r="T55">
        <v>1</v>
      </c>
      <c r="X55" t="s">
        <v>1242</v>
      </c>
      <c r="Y55" t="s">
        <v>116</v>
      </c>
      <c r="AB55" t="s">
        <v>126</v>
      </c>
      <c r="AG55" t="s">
        <v>127</v>
      </c>
      <c r="AH55" t="s">
        <v>128</v>
      </c>
    </row>
    <row r="56" spans="1:36" x14ac:dyDescent="0.35">
      <c r="A56">
        <v>55</v>
      </c>
      <c r="B56">
        <f>_xlfn.XLOOKUP(C56, csl_deposits!B:B, csl_deposits!A:A, "NA", 0,1)</f>
        <v>92</v>
      </c>
      <c r="C56" t="s">
        <v>1475</v>
      </c>
      <c r="E56" t="s">
        <v>1190</v>
      </c>
      <c r="F56" t="s">
        <v>1537</v>
      </c>
      <c r="G56" t="s">
        <v>1</v>
      </c>
      <c r="H56" t="s">
        <v>1191</v>
      </c>
      <c r="J56" t="s">
        <v>1</v>
      </c>
      <c r="L56">
        <v>521</v>
      </c>
      <c r="Y56" s="3"/>
      <c r="AB56" t="s">
        <v>1479</v>
      </c>
      <c r="AG56" t="s">
        <v>1473</v>
      </c>
    </row>
    <row r="57" spans="1:36" x14ac:dyDescent="0.35">
      <c r="A57">
        <v>56</v>
      </c>
      <c r="B57">
        <f>_xlfn.XLOOKUP(C57, csl_deposits!B:B, csl_deposits!A:A, "NA", 0,1)</f>
        <v>92</v>
      </c>
      <c r="C57" t="s">
        <v>1475</v>
      </c>
      <c r="E57" t="s">
        <v>1188</v>
      </c>
      <c r="F57" t="s">
        <v>1478</v>
      </c>
      <c r="G57" t="s">
        <v>0</v>
      </c>
      <c r="H57" t="s">
        <v>1185</v>
      </c>
      <c r="I57" t="s">
        <v>1480</v>
      </c>
      <c r="J57" t="s">
        <v>0</v>
      </c>
      <c r="K57" t="s">
        <v>298</v>
      </c>
      <c r="L57">
        <v>620</v>
      </c>
      <c r="P57" t="s">
        <v>125</v>
      </c>
      <c r="Q57" t="s">
        <v>159</v>
      </c>
      <c r="S57">
        <v>620</v>
      </c>
      <c r="X57" t="s">
        <v>1483</v>
      </c>
      <c r="Y57" s="3" t="s">
        <v>1485</v>
      </c>
      <c r="AB57" t="s">
        <v>1477</v>
      </c>
      <c r="AF57" t="s">
        <v>1486</v>
      </c>
      <c r="AG57" t="s">
        <v>1473</v>
      </c>
    </row>
    <row r="58" spans="1:36" x14ac:dyDescent="0.35">
      <c r="A58">
        <v>57</v>
      </c>
      <c r="B58">
        <f>_xlfn.XLOOKUP(C58, csl_deposits!B:B, csl_deposits!A:A, "NA", 0,1)</f>
        <v>92</v>
      </c>
      <c r="C58" t="s">
        <v>1475</v>
      </c>
      <c r="E58" t="s">
        <v>1188</v>
      </c>
      <c r="F58" t="s">
        <v>1478</v>
      </c>
      <c r="G58" t="s">
        <v>0</v>
      </c>
      <c r="H58" t="s">
        <v>1185</v>
      </c>
      <c r="I58" t="s">
        <v>104</v>
      </c>
      <c r="J58" t="s">
        <v>0</v>
      </c>
      <c r="K58" t="s">
        <v>7</v>
      </c>
      <c r="L58">
        <v>637</v>
      </c>
      <c r="M58">
        <v>18</v>
      </c>
      <c r="P58" t="s">
        <v>14</v>
      </c>
      <c r="Q58" t="s">
        <v>25</v>
      </c>
      <c r="S58">
        <v>637</v>
      </c>
      <c r="T58">
        <v>18</v>
      </c>
      <c r="X58" t="s">
        <v>1483</v>
      </c>
      <c r="Y58" s="3" t="s">
        <v>1484</v>
      </c>
      <c r="AB58" t="s">
        <v>1477</v>
      </c>
      <c r="AF58" t="s">
        <v>1486</v>
      </c>
      <c r="AG58" t="s">
        <v>1473</v>
      </c>
    </row>
    <row r="59" spans="1:36" x14ac:dyDescent="0.35">
      <c r="A59">
        <v>58</v>
      </c>
      <c r="B59">
        <f>_xlfn.XLOOKUP(C59, csl_deposits!B:B, csl_deposits!A:A, "NA", 0,1)</f>
        <v>25</v>
      </c>
      <c r="C59" t="s">
        <v>634</v>
      </c>
      <c r="E59" t="s">
        <v>1190</v>
      </c>
      <c r="F59" t="s">
        <v>1245</v>
      </c>
      <c r="G59" t="s">
        <v>1</v>
      </c>
      <c r="H59" t="s">
        <v>1185</v>
      </c>
      <c r="I59" t="s">
        <v>31</v>
      </c>
      <c r="J59" t="s">
        <v>13</v>
      </c>
      <c r="K59" t="s">
        <v>7</v>
      </c>
      <c r="L59">
        <v>609.70000000000005</v>
      </c>
      <c r="M59">
        <v>5.5</v>
      </c>
      <c r="P59" t="s">
        <v>71</v>
      </c>
      <c r="Q59" t="s">
        <v>9</v>
      </c>
      <c r="S59">
        <v>609.70000000000005</v>
      </c>
      <c r="T59">
        <v>5.5</v>
      </c>
      <c r="X59" t="s">
        <v>1244</v>
      </c>
      <c r="Z59" t="s">
        <v>129</v>
      </c>
      <c r="AG59" t="s">
        <v>130</v>
      </c>
      <c r="AH59" t="s">
        <v>131</v>
      </c>
      <c r="AI59" t="s">
        <v>132</v>
      </c>
    </row>
    <row r="60" spans="1:36" x14ac:dyDescent="0.35">
      <c r="A60">
        <v>59</v>
      </c>
      <c r="B60">
        <f>_xlfn.XLOOKUP(C60, csl_deposits!B:B, csl_deposits!A:A, "NA", 0,1)</f>
        <v>25</v>
      </c>
      <c r="C60" t="s">
        <v>634</v>
      </c>
      <c r="E60" t="s">
        <v>1190</v>
      </c>
      <c r="F60" t="s">
        <v>1245</v>
      </c>
      <c r="G60" t="s">
        <v>1</v>
      </c>
      <c r="H60" t="s">
        <v>1185</v>
      </c>
      <c r="I60" t="s">
        <v>31</v>
      </c>
      <c r="J60" t="s">
        <v>13</v>
      </c>
      <c r="K60" t="s">
        <v>7</v>
      </c>
      <c r="L60">
        <v>604</v>
      </c>
      <c r="M60">
        <v>6</v>
      </c>
      <c r="P60" t="s">
        <v>71</v>
      </c>
      <c r="Q60" t="s">
        <v>9</v>
      </c>
      <c r="S60">
        <v>604</v>
      </c>
      <c r="T60">
        <v>6</v>
      </c>
      <c r="X60" t="s">
        <v>1244</v>
      </c>
      <c r="Z60" t="s">
        <v>129</v>
      </c>
      <c r="AG60" t="s">
        <v>130</v>
      </c>
      <c r="AH60" t="s">
        <v>131</v>
      </c>
      <c r="AI60" t="s">
        <v>132</v>
      </c>
    </row>
    <row r="61" spans="1:36" x14ac:dyDescent="0.35">
      <c r="A61">
        <v>60</v>
      </c>
      <c r="B61">
        <f>_xlfn.XLOOKUP(C61, csl_deposits!B:B, csl_deposits!A:A, "NA", 0,1)</f>
        <v>25</v>
      </c>
      <c r="C61" t="s">
        <v>634</v>
      </c>
      <c r="E61" t="s">
        <v>1190</v>
      </c>
      <c r="F61" t="s">
        <v>1245</v>
      </c>
      <c r="G61" t="s">
        <v>1</v>
      </c>
      <c r="H61" t="s">
        <v>1185</v>
      </c>
      <c r="I61" t="s">
        <v>31</v>
      </c>
      <c r="J61" t="s">
        <v>13</v>
      </c>
      <c r="K61" t="s">
        <v>7</v>
      </c>
      <c r="L61">
        <v>609.70000000000005</v>
      </c>
      <c r="M61">
        <v>5.5</v>
      </c>
      <c r="P61" t="s">
        <v>71</v>
      </c>
      <c r="Q61" t="s">
        <v>9</v>
      </c>
      <c r="S61">
        <v>609.70000000000005</v>
      </c>
      <c r="T61">
        <v>5.5</v>
      </c>
      <c r="X61" t="s">
        <v>1244</v>
      </c>
      <c r="Z61" t="s">
        <v>129</v>
      </c>
      <c r="AG61" t="s">
        <v>130</v>
      </c>
      <c r="AH61" t="s">
        <v>131</v>
      </c>
      <c r="AI61" t="s">
        <v>132</v>
      </c>
    </row>
    <row r="62" spans="1:36" x14ac:dyDescent="0.35">
      <c r="A62">
        <v>61</v>
      </c>
      <c r="B62">
        <f>_xlfn.XLOOKUP(C62, csl_deposits!B:B, csl_deposits!A:A, "NA", 0,1)</f>
        <v>25</v>
      </c>
      <c r="C62" t="s">
        <v>634</v>
      </c>
      <c r="E62" t="s">
        <v>1190</v>
      </c>
      <c r="F62" t="s">
        <v>1245</v>
      </c>
      <c r="G62" t="s">
        <v>1</v>
      </c>
      <c r="H62" t="s">
        <v>1185</v>
      </c>
      <c r="I62" t="s">
        <v>31</v>
      </c>
      <c r="J62" t="s">
        <v>13</v>
      </c>
      <c r="K62" t="s">
        <v>7</v>
      </c>
      <c r="L62">
        <v>604</v>
      </c>
      <c r="M62">
        <v>6</v>
      </c>
      <c r="P62" t="s">
        <v>71</v>
      </c>
      <c r="Q62" t="s">
        <v>9</v>
      </c>
      <c r="S62">
        <v>604</v>
      </c>
      <c r="T62">
        <v>6</v>
      </c>
      <c r="X62" t="s">
        <v>1244</v>
      </c>
      <c r="Z62" t="s">
        <v>129</v>
      </c>
      <c r="AG62" t="s">
        <v>130</v>
      </c>
      <c r="AH62" t="s">
        <v>131</v>
      </c>
      <c r="AI62" t="s">
        <v>132</v>
      </c>
    </row>
    <row r="63" spans="1:36" x14ac:dyDescent="0.35">
      <c r="A63">
        <v>62</v>
      </c>
      <c r="B63">
        <f>_xlfn.XLOOKUP(C63, csl_deposits!B:B, csl_deposits!A:A, "NA", 0,1)</f>
        <v>26</v>
      </c>
      <c r="C63" t="s">
        <v>642</v>
      </c>
      <c r="D63" t="s">
        <v>133</v>
      </c>
      <c r="E63" t="s">
        <v>1190</v>
      </c>
      <c r="F63" t="s">
        <v>1018</v>
      </c>
      <c r="G63" t="s">
        <v>1</v>
      </c>
      <c r="H63" t="s">
        <v>1185</v>
      </c>
      <c r="I63" t="s">
        <v>88</v>
      </c>
      <c r="J63" t="s">
        <v>13</v>
      </c>
      <c r="K63" t="s">
        <v>7</v>
      </c>
      <c r="L63" s="5">
        <v>579.88</v>
      </c>
      <c r="M63">
        <v>0.81</v>
      </c>
      <c r="P63" t="s">
        <v>32</v>
      </c>
      <c r="Q63" t="s">
        <v>9</v>
      </c>
      <c r="R63" s="3" t="s">
        <v>135</v>
      </c>
      <c r="S63" s="5">
        <v>579.88</v>
      </c>
      <c r="T63" s="5">
        <v>0.44</v>
      </c>
      <c r="U63">
        <v>0.52</v>
      </c>
      <c r="V63">
        <v>0.81</v>
      </c>
      <c r="W63">
        <v>0.82</v>
      </c>
      <c r="X63" t="s">
        <v>1019</v>
      </c>
      <c r="Z63" t="s">
        <v>136</v>
      </c>
      <c r="AB63" t="s">
        <v>137</v>
      </c>
      <c r="AF63" t="s">
        <v>919</v>
      </c>
      <c r="AG63" t="s">
        <v>138</v>
      </c>
    </row>
    <row r="64" spans="1:36" x14ac:dyDescent="0.35">
      <c r="A64">
        <v>63</v>
      </c>
      <c r="B64">
        <f>_xlfn.XLOOKUP(C64, csl_deposits!B:B, csl_deposits!A:A, "NA", 0,1)</f>
        <v>26</v>
      </c>
      <c r="C64" t="s">
        <v>642</v>
      </c>
      <c r="D64" t="s">
        <v>139</v>
      </c>
      <c r="E64" t="s">
        <v>1184</v>
      </c>
      <c r="F64" t="s">
        <v>1018</v>
      </c>
      <c r="G64" t="s">
        <v>0</v>
      </c>
      <c r="H64" t="s">
        <v>1185</v>
      </c>
      <c r="I64" t="s">
        <v>88</v>
      </c>
      <c r="J64" t="s">
        <v>13</v>
      </c>
      <c r="K64" t="s">
        <v>7</v>
      </c>
      <c r="L64" s="5">
        <v>580.34</v>
      </c>
      <c r="M64">
        <v>0.88</v>
      </c>
      <c r="P64" t="s">
        <v>32</v>
      </c>
      <c r="Q64" t="s">
        <v>9</v>
      </c>
      <c r="R64" s="3" t="s">
        <v>140</v>
      </c>
      <c r="S64" s="5">
        <v>580.34</v>
      </c>
      <c r="T64" s="5">
        <v>0.52</v>
      </c>
      <c r="U64">
        <v>0.62</v>
      </c>
      <c r="V64">
        <v>0.88</v>
      </c>
      <c r="W64">
        <v>0.36</v>
      </c>
      <c r="X64" t="s">
        <v>1020</v>
      </c>
      <c r="Z64" t="s">
        <v>136</v>
      </c>
      <c r="AB64" t="s">
        <v>141</v>
      </c>
      <c r="AF64" t="s">
        <v>919</v>
      </c>
      <c r="AG64" t="s">
        <v>138</v>
      </c>
    </row>
    <row r="65" spans="1:36" x14ac:dyDescent="0.35">
      <c r="A65">
        <v>64</v>
      </c>
      <c r="B65">
        <f>_xlfn.XLOOKUP(C65, csl_deposits!B:B, csl_deposits!A:A, "NA", 0,1)</f>
        <v>26</v>
      </c>
      <c r="C65" t="s">
        <v>642</v>
      </c>
      <c r="D65" t="s">
        <v>142</v>
      </c>
      <c r="E65" t="s">
        <v>1184</v>
      </c>
      <c r="F65" t="s">
        <v>1018</v>
      </c>
      <c r="G65" t="s">
        <v>0</v>
      </c>
      <c r="H65" t="s">
        <v>1185</v>
      </c>
      <c r="I65" t="s">
        <v>88</v>
      </c>
      <c r="J65" t="s">
        <v>13</v>
      </c>
      <c r="K65" t="s">
        <v>7</v>
      </c>
      <c r="L65" s="5">
        <v>580.9</v>
      </c>
      <c r="M65">
        <v>0.82</v>
      </c>
      <c r="P65" t="s">
        <v>32</v>
      </c>
      <c r="Q65" t="s">
        <v>9</v>
      </c>
      <c r="R65" s="3" t="s">
        <v>143</v>
      </c>
      <c r="S65" s="5">
        <v>580.9</v>
      </c>
      <c r="T65" s="5">
        <v>0.4</v>
      </c>
      <c r="U65">
        <v>0.53</v>
      </c>
      <c r="V65">
        <v>0.82</v>
      </c>
      <c r="W65">
        <v>1.1000000000000001</v>
      </c>
      <c r="X65" t="s">
        <v>1021</v>
      </c>
      <c r="Z65" t="s">
        <v>136</v>
      </c>
      <c r="AB65" t="s">
        <v>141</v>
      </c>
      <c r="AF65" t="s">
        <v>919</v>
      </c>
      <c r="AG65" t="s">
        <v>138</v>
      </c>
    </row>
    <row r="66" spans="1:36" x14ac:dyDescent="0.35">
      <c r="A66">
        <v>65</v>
      </c>
      <c r="B66">
        <f>_xlfn.XLOOKUP(C66, csl_deposits!B:B, csl_deposits!A:A, "NA", 0,1)</f>
        <v>27</v>
      </c>
      <c r="C66" t="s">
        <v>647</v>
      </c>
      <c r="D66" t="s">
        <v>30</v>
      </c>
      <c r="E66" t="s">
        <v>1190</v>
      </c>
      <c r="F66" s="3" t="s">
        <v>1201</v>
      </c>
      <c r="G66" t="s">
        <v>1</v>
      </c>
      <c r="H66" t="s">
        <v>1185</v>
      </c>
      <c r="I66" t="s">
        <v>31</v>
      </c>
      <c r="J66" t="s">
        <v>13</v>
      </c>
      <c r="K66" t="s">
        <v>7</v>
      </c>
      <c r="L66" s="4">
        <v>569.36</v>
      </c>
      <c r="M66" s="4">
        <v>0.28999999999999998</v>
      </c>
      <c r="P66" t="s">
        <v>32</v>
      </c>
      <c r="Q66" t="s">
        <v>9</v>
      </c>
      <c r="R66" s="3"/>
      <c r="S66" s="4">
        <v>569.36</v>
      </c>
      <c r="T66" s="4">
        <v>0.28999999999999998</v>
      </c>
      <c r="W66">
        <v>0.05</v>
      </c>
      <c r="X66" t="s">
        <v>1025</v>
      </c>
      <c r="Y66" s="3"/>
      <c r="Z66" t="s">
        <v>33</v>
      </c>
      <c r="AB66" s="3" t="s">
        <v>34</v>
      </c>
      <c r="AG66" t="s">
        <v>35</v>
      </c>
      <c r="AH66" t="s">
        <v>37</v>
      </c>
    </row>
    <row r="67" spans="1:36" x14ac:dyDescent="0.35">
      <c r="A67">
        <v>66</v>
      </c>
      <c r="B67">
        <f>_xlfn.XLOOKUP(C67, csl_deposits!B:B, csl_deposits!A:A, "NA", 0,1)</f>
        <v>27</v>
      </c>
      <c r="C67" t="s">
        <v>647</v>
      </c>
      <c r="D67" t="s">
        <v>38</v>
      </c>
      <c r="E67" t="s">
        <v>1190</v>
      </c>
      <c r="F67" s="3" t="s">
        <v>1201</v>
      </c>
      <c r="G67" t="s">
        <v>1</v>
      </c>
      <c r="H67" t="s">
        <v>1185</v>
      </c>
      <c r="I67" t="s">
        <v>31</v>
      </c>
      <c r="J67" t="s">
        <v>13</v>
      </c>
      <c r="K67" t="s">
        <v>7</v>
      </c>
      <c r="L67" s="4">
        <v>569.4</v>
      </c>
      <c r="M67" s="4">
        <v>0.12</v>
      </c>
      <c r="P67" t="s">
        <v>32</v>
      </c>
      <c r="Q67" t="s">
        <v>9</v>
      </c>
      <c r="R67" s="3"/>
      <c r="S67" s="4">
        <v>569.4</v>
      </c>
      <c r="T67" s="4">
        <v>0.12</v>
      </c>
      <c r="W67">
        <v>1.35</v>
      </c>
      <c r="X67" t="s">
        <v>1025</v>
      </c>
      <c r="Y67" s="3"/>
      <c r="Z67" t="s">
        <v>33</v>
      </c>
      <c r="AB67" s="3" t="s">
        <v>34</v>
      </c>
      <c r="AG67" t="s">
        <v>35</v>
      </c>
      <c r="AH67" t="s">
        <v>37</v>
      </c>
    </row>
    <row r="68" spans="1:36" x14ac:dyDescent="0.35">
      <c r="A68">
        <v>67</v>
      </c>
      <c r="B68">
        <f>_xlfn.XLOOKUP(C68, csl_deposits!B:B, csl_deposits!A:A, "NA", 0,1)</f>
        <v>28</v>
      </c>
      <c r="C68" t="s">
        <v>650</v>
      </c>
      <c r="D68" t="s">
        <v>144</v>
      </c>
      <c r="E68" t="s">
        <v>1184</v>
      </c>
      <c r="F68" t="s">
        <v>1057</v>
      </c>
      <c r="G68" t="s">
        <v>0</v>
      </c>
      <c r="H68" t="s">
        <v>1185</v>
      </c>
      <c r="I68" t="s">
        <v>58</v>
      </c>
      <c r="J68" t="s">
        <v>0</v>
      </c>
      <c r="K68" t="s">
        <v>7</v>
      </c>
      <c r="L68" s="5">
        <v>562.1</v>
      </c>
      <c r="M68">
        <v>3.1</v>
      </c>
      <c r="P68" t="s">
        <v>14</v>
      </c>
      <c r="Q68" t="s">
        <v>25</v>
      </c>
      <c r="R68" s="3"/>
      <c r="S68" s="5">
        <v>562.1</v>
      </c>
      <c r="T68" s="5"/>
      <c r="V68">
        <v>3.1</v>
      </c>
      <c r="W68">
        <v>0.31</v>
      </c>
      <c r="X68" t="s">
        <v>1058</v>
      </c>
      <c r="AB68" t="s">
        <v>145</v>
      </c>
      <c r="AC68" t="s">
        <v>146</v>
      </c>
      <c r="AG68" t="s">
        <v>147</v>
      </c>
    </row>
    <row r="69" spans="1:36" x14ac:dyDescent="0.35">
      <c r="A69">
        <v>68</v>
      </c>
      <c r="B69">
        <f>_xlfn.XLOOKUP(C69, csl_deposits!B:B, csl_deposits!A:A, "NA", 0,1)</f>
        <v>28</v>
      </c>
      <c r="C69" t="s">
        <v>650</v>
      </c>
      <c r="D69" t="s">
        <v>151</v>
      </c>
      <c r="E69" t="s">
        <v>1184</v>
      </c>
      <c r="F69" t="s">
        <v>1057</v>
      </c>
      <c r="G69" t="s">
        <v>0</v>
      </c>
      <c r="H69" t="s">
        <v>1185</v>
      </c>
      <c r="I69" t="s">
        <v>152</v>
      </c>
      <c r="J69" t="s">
        <v>0</v>
      </c>
      <c r="K69" t="s">
        <v>7</v>
      </c>
      <c r="L69" s="5">
        <v>560.6</v>
      </c>
      <c r="M69" s="6">
        <v>3.3</v>
      </c>
      <c r="P69" t="s">
        <v>14</v>
      </c>
      <c r="Q69" t="s">
        <v>25</v>
      </c>
      <c r="R69" s="3"/>
      <c r="S69" s="5">
        <v>560.6</v>
      </c>
      <c r="T69" s="4"/>
      <c r="V69" s="6">
        <v>3.3</v>
      </c>
      <c r="W69">
        <v>0.33</v>
      </c>
      <c r="X69" t="s">
        <v>1060</v>
      </c>
      <c r="AB69" t="s">
        <v>145</v>
      </c>
      <c r="AC69" t="s">
        <v>149</v>
      </c>
      <c r="AD69" t="s">
        <v>153</v>
      </c>
      <c r="AG69" t="s">
        <v>147</v>
      </c>
    </row>
    <row r="70" spans="1:36" x14ac:dyDescent="0.35">
      <c r="A70">
        <v>69</v>
      </c>
      <c r="B70">
        <f>_xlfn.XLOOKUP(C70, csl_deposits!B:B, csl_deposits!A:A, "NA", 0,1)</f>
        <v>28</v>
      </c>
      <c r="C70" t="s">
        <v>650</v>
      </c>
      <c r="D70" t="s">
        <v>148</v>
      </c>
      <c r="E70" t="s">
        <v>1188</v>
      </c>
      <c r="F70" t="s">
        <v>1057</v>
      </c>
      <c r="G70" t="s">
        <v>0</v>
      </c>
      <c r="H70" t="s">
        <v>1185</v>
      </c>
      <c r="I70" t="s">
        <v>61</v>
      </c>
      <c r="J70" t="s">
        <v>0</v>
      </c>
      <c r="K70" t="s">
        <v>7</v>
      </c>
      <c r="L70" s="5">
        <v>563.5</v>
      </c>
      <c r="M70">
        <v>8.4</v>
      </c>
      <c r="P70" t="s">
        <v>14</v>
      </c>
      <c r="Q70" t="s">
        <v>25</v>
      </c>
      <c r="R70" s="3"/>
      <c r="S70" s="5">
        <v>563.5</v>
      </c>
      <c r="T70" s="5"/>
      <c r="V70">
        <v>8.4</v>
      </c>
      <c r="W70">
        <v>0.48</v>
      </c>
      <c r="X70" t="s">
        <v>1059</v>
      </c>
      <c r="AB70" t="s">
        <v>145</v>
      </c>
      <c r="AC70" t="s">
        <v>149</v>
      </c>
      <c r="AD70" t="s">
        <v>150</v>
      </c>
      <c r="AG70" t="s">
        <v>147</v>
      </c>
    </row>
    <row r="71" spans="1:36" x14ac:dyDescent="0.35">
      <c r="A71">
        <v>70</v>
      </c>
      <c r="B71">
        <f>_xlfn.XLOOKUP(C71, csl_deposits!B:B, csl_deposits!A:A, "NA", 0,1)</f>
        <v>29</v>
      </c>
      <c r="C71" t="s">
        <v>653</v>
      </c>
      <c r="E71" t="s">
        <v>1190</v>
      </c>
      <c r="G71" t="s">
        <v>1</v>
      </c>
      <c r="H71" t="s">
        <v>1185</v>
      </c>
      <c r="J71" t="s">
        <v>0</v>
      </c>
      <c r="K71" t="s">
        <v>7</v>
      </c>
      <c r="L71">
        <v>501</v>
      </c>
      <c r="M71">
        <v>10</v>
      </c>
      <c r="P71" t="s">
        <v>110</v>
      </c>
      <c r="Q71" t="s">
        <v>25</v>
      </c>
      <c r="R71" s="3"/>
      <c r="S71" s="5">
        <v>501</v>
      </c>
      <c r="T71">
        <v>10</v>
      </c>
      <c r="X71" t="s">
        <v>1246</v>
      </c>
      <c r="Z71" t="s">
        <v>154</v>
      </c>
      <c r="AG71" t="s">
        <v>155</v>
      </c>
      <c r="AH71" t="s">
        <v>156</v>
      </c>
    </row>
    <row r="72" spans="1:36" x14ac:dyDescent="0.35">
      <c r="A72">
        <v>71</v>
      </c>
      <c r="B72">
        <f>_xlfn.XLOOKUP(C72, csl_deposits!B:B, csl_deposits!A:A, "NA", 0,1)</f>
        <v>29</v>
      </c>
      <c r="C72" t="s">
        <v>653</v>
      </c>
      <c r="E72" t="s">
        <v>1184</v>
      </c>
      <c r="G72" t="s">
        <v>0</v>
      </c>
      <c r="H72" t="s">
        <v>1185</v>
      </c>
      <c r="I72" t="s">
        <v>157</v>
      </c>
      <c r="J72" t="s">
        <v>0</v>
      </c>
      <c r="K72" t="s">
        <v>158</v>
      </c>
      <c r="L72">
        <v>595</v>
      </c>
      <c r="M72">
        <v>12</v>
      </c>
      <c r="Q72" t="s">
        <v>159</v>
      </c>
      <c r="R72" s="3"/>
      <c r="S72">
        <v>595</v>
      </c>
      <c r="T72">
        <v>12</v>
      </c>
      <c r="X72" t="s">
        <v>1247</v>
      </c>
      <c r="AB72" t="s">
        <v>160</v>
      </c>
      <c r="AG72" t="s">
        <v>161</v>
      </c>
      <c r="AH72" t="s">
        <v>156</v>
      </c>
    </row>
    <row r="73" spans="1:36" x14ac:dyDescent="0.35">
      <c r="A73">
        <v>72</v>
      </c>
      <c r="B73">
        <f>_xlfn.XLOOKUP(C73, csl_deposits!B:B, csl_deposits!A:A, "NA", 0,1)</f>
        <v>29</v>
      </c>
      <c r="C73" t="s">
        <v>653</v>
      </c>
      <c r="D73" t="s">
        <v>162</v>
      </c>
      <c r="E73" t="s">
        <v>1188</v>
      </c>
      <c r="F73" t="s">
        <v>1249</v>
      </c>
      <c r="H73" t="s">
        <v>1185</v>
      </c>
      <c r="I73" t="s">
        <v>79</v>
      </c>
      <c r="J73" t="s">
        <v>0</v>
      </c>
      <c r="K73" t="s">
        <v>7</v>
      </c>
      <c r="L73" s="5">
        <v>550</v>
      </c>
      <c r="M73">
        <v>24</v>
      </c>
      <c r="P73" t="s">
        <v>14</v>
      </c>
      <c r="Q73" t="s">
        <v>9</v>
      </c>
      <c r="R73" s="3"/>
      <c r="S73" s="5">
        <v>550</v>
      </c>
      <c r="T73">
        <v>24</v>
      </c>
      <c r="X73" t="s">
        <v>1248</v>
      </c>
      <c r="Z73" t="s">
        <v>653</v>
      </c>
      <c r="AF73" t="s">
        <v>1452</v>
      </c>
      <c r="AG73" t="s">
        <v>163</v>
      </c>
      <c r="AH73" t="s">
        <v>164</v>
      </c>
    </row>
    <row r="74" spans="1:36" x14ac:dyDescent="0.35">
      <c r="A74">
        <v>73</v>
      </c>
      <c r="B74">
        <f>_xlfn.XLOOKUP(C74, csl_deposits!B:B, csl_deposits!A:A, "NA", 0,1)</f>
        <v>30</v>
      </c>
      <c r="C74" t="s">
        <v>660</v>
      </c>
      <c r="E74" t="s">
        <v>1190</v>
      </c>
      <c r="F74" t="s">
        <v>1250</v>
      </c>
      <c r="G74" t="s">
        <v>1</v>
      </c>
      <c r="H74" t="s">
        <v>1191</v>
      </c>
      <c r="J74" t="s">
        <v>1</v>
      </c>
      <c r="L74">
        <v>538.79999999999995</v>
      </c>
      <c r="M74">
        <v>0.2</v>
      </c>
      <c r="R74" s="3"/>
      <c r="AB74" t="s">
        <v>1251</v>
      </c>
      <c r="AG74" t="s">
        <v>1252</v>
      </c>
      <c r="AH74" t="s">
        <v>1253</v>
      </c>
    </row>
    <row r="75" spans="1:36" x14ac:dyDescent="0.35">
      <c r="A75">
        <v>74</v>
      </c>
      <c r="B75">
        <f>_xlfn.XLOOKUP(C75, csl_deposits!B:B, csl_deposits!A:A, "NA", 0,1)</f>
        <v>30</v>
      </c>
      <c r="C75" t="s">
        <v>660</v>
      </c>
      <c r="E75" t="s">
        <v>1184</v>
      </c>
      <c r="F75" t="s">
        <v>1254</v>
      </c>
      <c r="G75" t="s">
        <v>0</v>
      </c>
      <c r="H75" t="s">
        <v>1022</v>
      </c>
      <c r="I75" t="s">
        <v>28</v>
      </c>
      <c r="J75" t="s">
        <v>0</v>
      </c>
      <c r="K75" t="s">
        <v>1198</v>
      </c>
      <c r="L75">
        <v>566.9</v>
      </c>
      <c r="M75">
        <v>3.5</v>
      </c>
      <c r="N75" t="s">
        <v>1007</v>
      </c>
      <c r="O75" t="s">
        <v>1199</v>
      </c>
      <c r="R75" s="3"/>
      <c r="AB75" t="s">
        <v>1078</v>
      </c>
      <c r="AF75" t="s">
        <v>1255</v>
      </c>
      <c r="AG75" t="s">
        <v>1252</v>
      </c>
      <c r="AH75" t="s">
        <v>463</v>
      </c>
      <c r="AI75" t="s">
        <v>29</v>
      </c>
      <c r="AJ75" t="s">
        <v>455</v>
      </c>
    </row>
    <row r="76" spans="1:36" x14ac:dyDescent="0.35">
      <c r="A76">
        <v>75</v>
      </c>
      <c r="B76">
        <f>_xlfn.XLOOKUP(C76, csl_deposits!B:B, csl_deposits!A:A, "NA", 0,1)</f>
        <v>30</v>
      </c>
      <c r="C76" t="s">
        <v>660</v>
      </c>
      <c r="D76" t="s">
        <v>165</v>
      </c>
      <c r="E76" t="s">
        <v>1184</v>
      </c>
      <c r="F76" t="s">
        <v>1257</v>
      </c>
      <c r="G76" t="s">
        <v>0</v>
      </c>
      <c r="H76" t="s">
        <v>1185</v>
      </c>
      <c r="I76" t="s">
        <v>166</v>
      </c>
      <c r="J76" t="s">
        <v>13</v>
      </c>
      <c r="K76" t="s">
        <v>7</v>
      </c>
      <c r="L76">
        <v>615</v>
      </c>
      <c r="M76">
        <v>6</v>
      </c>
      <c r="P76" t="s">
        <v>71</v>
      </c>
      <c r="Q76" t="s">
        <v>9</v>
      </c>
      <c r="R76" s="3"/>
      <c r="S76">
        <v>615</v>
      </c>
      <c r="T76">
        <v>6</v>
      </c>
      <c r="W76">
        <v>1.4</v>
      </c>
      <c r="X76" t="s">
        <v>1256</v>
      </c>
      <c r="Z76" t="s">
        <v>167</v>
      </c>
      <c r="AB76" t="s">
        <v>168</v>
      </c>
      <c r="AG76" t="s">
        <v>169</v>
      </c>
    </row>
    <row r="77" spans="1:36" x14ac:dyDescent="0.35">
      <c r="A77">
        <v>76</v>
      </c>
      <c r="B77">
        <f>_xlfn.XLOOKUP(C77, csl_deposits!B:B, csl_deposits!A:A, "NA", 0,1)</f>
        <v>30</v>
      </c>
      <c r="C77" t="s">
        <v>660</v>
      </c>
      <c r="D77" t="s">
        <v>1568</v>
      </c>
      <c r="E77" t="s">
        <v>1188</v>
      </c>
      <c r="F77" t="s">
        <v>1571</v>
      </c>
      <c r="G77" t="s">
        <v>0</v>
      </c>
      <c r="H77" t="s">
        <v>1185</v>
      </c>
      <c r="I77" t="s">
        <v>24</v>
      </c>
      <c r="J77" t="s">
        <v>0</v>
      </c>
      <c r="K77" t="s">
        <v>7</v>
      </c>
      <c r="L77">
        <v>591.29999999999995</v>
      </c>
      <c r="M77">
        <v>3.2</v>
      </c>
      <c r="P77" t="s">
        <v>14</v>
      </c>
      <c r="Q77" t="s">
        <v>25</v>
      </c>
      <c r="R77" s="3"/>
      <c r="S77">
        <v>591.29999999999995</v>
      </c>
      <c r="T77">
        <v>3.2</v>
      </c>
      <c r="W77">
        <v>0.6</v>
      </c>
      <c r="X77" t="s">
        <v>1572</v>
      </c>
      <c r="AB77" t="s">
        <v>521</v>
      </c>
      <c r="AG77" t="s">
        <v>1569</v>
      </c>
    </row>
    <row r="78" spans="1:36" x14ac:dyDescent="0.35">
      <c r="A78">
        <v>77</v>
      </c>
      <c r="B78">
        <f>_xlfn.XLOOKUP(C78, csl_deposits!B:B, csl_deposits!A:A, "NA", 0,1)</f>
        <v>32</v>
      </c>
      <c r="C78" t="s">
        <v>671</v>
      </c>
      <c r="E78" t="s">
        <v>1190</v>
      </c>
      <c r="F78" t="s">
        <v>1258</v>
      </c>
      <c r="G78" t="s">
        <v>1</v>
      </c>
      <c r="H78" t="s">
        <v>1191</v>
      </c>
      <c r="I78" t="s">
        <v>79</v>
      </c>
      <c r="J78" t="s">
        <v>1</v>
      </c>
      <c r="L78">
        <v>538.79999999999995</v>
      </c>
      <c r="Z78" t="s">
        <v>987</v>
      </c>
      <c r="AB78" t="s">
        <v>988</v>
      </c>
      <c r="AD78" t="s">
        <v>989</v>
      </c>
      <c r="AG78" t="s">
        <v>1259</v>
      </c>
    </row>
    <row r="79" spans="1:36" x14ac:dyDescent="0.35">
      <c r="A79">
        <v>78</v>
      </c>
      <c r="B79">
        <f>_xlfn.XLOOKUP(C79, csl_deposits!B:B, csl_deposits!A:A, "NA", 0,1)</f>
        <v>33</v>
      </c>
      <c r="C79" t="s">
        <v>678</v>
      </c>
      <c r="D79" t="s">
        <v>176</v>
      </c>
      <c r="E79" t="s">
        <v>1190</v>
      </c>
      <c r="F79" t="s">
        <v>1026</v>
      </c>
      <c r="G79" t="s">
        <v>1</v>
      </c>
      <c r="H79" t="s">
        <v>1185</v>
      </c>
      <c r="I79" t="s">
        <v>177</v>
      </c>
      <c r="J79" t="s">
        <v>13</v>
      </c>
      <c r="K79" t="s">
        <v>7</v>
      </c>
      <c r="L79" s="4">
        <v>555.13</v>
      </c>
      <c r="M79" s="4">
        <v>0.31</v>
      </c>
      <c r="P79" t="s">
        <v>32</v>
      </c>
      <c r="Q79" t="s">
        <v>9</v>
      </c>
      <c r="R79" s="3"/>
      <c r="S79" s="4">
        <v>555.13</v>
      </c>
      <c r="T79" s="4">
        <v>0.31</v>
      </c>
      <c r="W79">
        <v>2.56</v>
      </c>
      <c r="X79" t="s">
        <v>1023</v>
      </c>
      <c r="Y79" s="3" t="s">
        <v>178</v>
      </c>
      <c r="Z79" t="s">
        <v>179</v>
      </c>
      <c r="AA79" t="s">
        <v>180</v>
      </c>
      <c r="AB79" s="3" t="s">
        <v>181</v>
      </c>
      <c r="AG79" t="s">
        <v>35</v>
      </c>
    </row>
    <row r="80" spans="1:36" x14ac:dyDescent="0.35">
      <c r="A80">
        <v>79</v>
      </c>
      <c r="B80">
        <f>_xlfn.XLOOKUP(C80, csl_deposits!B:B, csl_deposits!A:A, "NA", 0,1)</f>
        <v>33</v>
      </c>
      <c r="C80" t="s">
        <v>678</v>
      </c>
      <c r="D80" t="s">
        <v>182</v>
      </c>
      <c r="E80" t="s">
        <v>1190</v>
      </c>
      <c r="F80" t="s">
        <v>1027</v>
      </c>
      <c r="G80" t="s">
        <v>1</v>
      </c>
      <c r="H80" t="s">
        <v>1185</v>
      </c>
      <c r="I80" t="s">
        <v>177</v>
      </c>
      <c r="J80" t="s">
        <v>13</v>
      </c>
      <c r="K80" t="s">
        <v>7</v>
      </c>
      <c r="L80" s="4">
        <v>554.5</v>
      </c>
      <c r="M80" s="4">
        <v>0.26</v>
      </c>
      <c r="P80" t="s">
        <v>32</v>
      </c>
      <c r="Q80" t="s">
        <v>9</v>
      </c>
      <c r="R80" s="3"/>
      <c r="S80" s="4">
        <v>554.5</v>
      </c>
      <c r="T80" s="4">
        <v>0.26</v>
      </c>
      <c r="W80">
        <v>0.82</v>
      </c>
      <c r="X80" t="s">
        <v>1023</v>
      </c>
      <c r="Y80" s="3" t="s">
        <v>183</v>
      </c>
      <c r="Z80" t="s">
        <v>179</v>
      </c>
      <c r="AA80" t="s">
        <v>180</v>
      </c>
      <c r="AB80" s="3" t="s">
        <v>181</v>
      </c>
      <c r="AG80" t="s">
        <v>35</v>
      </c>
    </row>
    <row r="81" spans="1:34" x14ac:dyDescent="0.35">
      <c r="A81">
        <v>80</v>
      </c>
      <c r="B81">
        <f>_xlfn.XLOOKUP(C81, csl_deposits!B:B, csl_deposits!A:A, "NA", 0,1)</f>
        <v>33</v>
      </c>
      <c r="C81" t="s">
        <v>678</v>
      </c>
      <c r="D81" t="s">
        <v>184</v>
      </c>
      <c r="E81" t="s">
        <v>1190</v>
      </c>
      <c r="F81" t="s">
        <v>1028</v>
      </c>
      <c r="G81" t="s">
        <v>1</v>
      </c>
      <c r="H81" t="s">
        <v>1185</v>
      </c>
      <c r="I81" t="s">
        <v>177</v>
      </c>
      <c r="J81" t="s">
        <v>13</v>
      </c>
      <c r="K81" t="s">
        <v>7</v>
      </c>
      <c r="L81" s="4">
        <v>556.15</v>
      </c>
      <c r="M81" s="4">
        <v>0.09</v>
      </c>
      <c r="P81" t="s">
        <v>32</v>
      </c>
      <c r="Q81" t="s">
        <v>9</v>
      </c>
      <c r="R81" s="3"/>
      <c r="S81" s="4">
        <v>556.15</v>
      </c>
      <c r="T81" s="4">
        <v>0.09</v>
      </c>
      <c r="W81">
        <v>1.71</v>
      </c>
      <c r="X81" t="s">
        <v>1029</v>
      </c>
      <c r="Y81" s="3" t="s">
        <v>185</v>
      </c>
      <c r="Z81" t="s">
        <v>179</v>
      </c>
      <c r="AA81" t="s">
        <v>180</v>
      </c>
      <c r="AB81" s="3" t="s">
        <v>181</v>
      </c>
      <c r="AC81" t="s">
        <v>186</v>
      </c>
      <c r="AG81" t="s">
        <v>35</v>
      </c>
    </row>
    <row r="82" spans="1:34" x14ac:dyDescent="0.35">
      <c r="A82">
        <v>81</v>
      </c>
      <c r="B82">
        <f>_xlfn.XLOOKUP(C82, csl_deposits!B:B, csl_deposits!A:A, "NA", 0,1)</f>
        <v>33</v>
      </c>
      <c r="C82" t="s">
        <v>678</v>
      </c>
      <c r="D82" t="s">
        <v>187</v>
      </c>
      <c r="E82" t="s">
        <v>1190</v>
      </c>
      <c r="F82" s="3"/>
      <c r="H82" t="s">
        <v>1185</v>
      </c>
      <c r="I82" t="s">
        <v>188</v>
      </c>
      <c r="J82" t="s">
        <v>0</v>
      </c>
      <c r="K82" t="s">
        <v>7</v>
      </c>
      <c r="L82" s="4">
        <v>557.12</v>
      </c>
      <c r="M82" s="4">
        <v>0.41</v>
      </c>
      <c r="P82" t="s">
        <v>32</v>
      </c>
      <c r="Q82" t="s">
        <v>25</v>
      </c>
      <c r="R82" s="3"/>
      <c r="S82" s="4">
        <v>557.12</v>
      </c>
      <c r="T82" s="4">
        <v>0.41</v>
      </c>
      <c r="W82">
        <v>2.62</v>
      </c>
      <c r="X82" t="s">
        <v>1030</v>
      </c>
      <c r="Y82" s="3" t="s">
        <v>189</v>
      </c>
      <c r="Z82" t="s">
        <v>179</v>
      </c>
      <c r="AA82" t="s">
        <v>180</v>
      </c>
      <c r="AB82" s="3" t="s">
        <v>190</v>
      </c>
      <c r="AC82" t="s">
        <v>191</v>
      </c>
      <c r="AG82" t="s">
        <v>35</v>
      </c>
    </row>
    <row r="83" spans="1:34" x14ac:dyDescent="0.35">
      <c r="A83">
        <v>82</v>
      </c>
      <c r="B83">
        <f>_xlfn.XLOOKUP(C83, csl_deposits!B:B, csl_deposits!A:A, "NA", 0,1)</f>
        <v>33</v>
      </c>
      <c r="C83" t="s">
        <v>678</v>
      </c>
      <c r="D83" t="s">
        <v>198</v>
      </c>
      <c r="E83" t="s">
        <v>1190</v>
      </c>
      <c r="F83" s="3"/>
      <c r="H83" t="s">
        <v>1185</v>
      </c>
      <c r="I83" t="s">
        <v>199</v>
      </c>
      <c r="J83" t="s">
        <v>0</v>
      </c>
      <c r="K83" t="s">
        <v>7</v>
      </c>
      <c r="L83" s="4">
        <v>551</v>
      </c>
      <c r="M83" s="4">
        <v>13</v>
      </c>
      <c r="P83" t="s">
        <v>14</v>
      </c>
      <c r="Q83" t="s">
        <v>25</v>
      </c>
      <c r="S83" s="4">
        <v>551</v>
      </c>
      <c r="T83" s="4">
        <v>13</v>
      </c>
      <c r="W83">
        <v>0.53</v>
      </c>
      <c r="X83" t="s">
        <v>1260</v>
      </c>
      <c r="Y83" t="s">
        <v>185</v>
      </c>
      <c r="Z83" t="s">
        <v>179</v>
      </c>
      <c r="AA83" t="s">
        <v>180</v>
      </c>
      <c r="AB83" s="3" t="s">
        <v>181</v>
      </c>
      <c r="AC83" t="s">
        <v>200</v>
      </c>
      <c r="AG83" t="s">
        <v>201</v>
      </c>
    </row>
    <row r="84" spans="1:34" x14ac:dyDescent="0.35">
      <c r="A84">
        <v>83</v>
      </c>
      <c r="B84">
        <f>_xlfn.XLOOKUP(C84, csl_deposits!B:B, csl_deposits!A:A, "NA", 0,1)</f>
        <v>33</v>
      </c>
      <c r="C84" t="s">
        <v>678</v>
      </c>
      <c r="D84" t="s">
        <v>30</v>
      </c>
      <c r="E84" t="s">
        <v>1184</v>
      </c>
      <c r="F84" s="3"/>
      <c r="G84" t="s">
        <v>0</v>
      </c>
      <c r="H84" t="s">
        <v>1185</v>
      </c>
      <c r="I84" t="s">
        <v>31</v>
      </c>
      <c r="J84" t="s">
        <v>13</v>
      </c>
      <c r="K84" t="s">
        <v>7</v>
      </c>
      <c r="L84" s="4">
        <v>569.36</v>
      </c>
      <c r="M84" s="4">
        <v>0.28999999999999998</v>
      </c>
      <c r="P84" t="s">
        <v>32</v>
      </c>
      <c r="Q84" t="s">
        <v>9</v>
      </c>
      <c r="R84" s="3"/>
      <c r="S84" s="4">
        <v>569.36</v>
      </c>
      <c r="T84" s="4">
        <v>0.28999999999999998</v>
      </c>
      <c r="W84">
        <v>0.05</v>
      </c>
      <c r="X84" t="s">
        <v>1025</v>
      </c>
      <c r="Y84" s="3" t="s">
        <v>175</v>
      </c>
      <c r="Z84" t="s">
        <v>33</v>
      </c>
      <c r="AB84" s="3" t="s">
        <v>34</v>
      </c>
      <c r="AG84" t="s">
        <v>35</v>
      </c>
    </row>
    <row r="85" spans="1:34" x14ac:dyDescent="0.35">
      <c r="A85">
        <v>84</v>
      </c>
      <c r="B85">
        <f>_xlfn.XLOOKUP(C85, csl_deposits!B:B, csl_deposits!A:A, "NA", 0,1)</f>
        <v>33</v>
      </c>
      <c r="C85" t="s">
        <v>678</v>
      </c>
      <c r="D85" t="s">
        <v>38</v>
      </c>
      <c r="E85" t="s">
        <v>1184</v>
      </c>
      <c r="F85" s="3"/>
      <c r="G85" t="s">
        <v>0</v>
      </c>
      <c r="H85" t="s">
        <v>1185</v>
      </c>
      <c r="I85" t="s">
        <v>31</v>
      </c>
      <c r="J85" t="s">
        <v>13</v>
      </c>
      <c r="K85" t="s">
        <v>7</v>
      </c>
      <c r="L85" s="4">
        <v>569.4</v>
      </c>
      <c r="M85" s="4">
        <v>0.12</v>
      </c>
      <c r="P85" t="s">
        <v>32</v>
      </c>
      <c r="Q85" t="s">
        <v>9</v>
      </c>
      <c r="R85" s="3"/>
      <c r="S85" s="4">
        <v>569.4</v>
      </c>
      <c r="T85" s="4">
        <v>0.12</v>
      </c>
      <c r="W85">
        <v>1.35</v>
      </c>
      <c r="X85" t="s">
        <v>1025</v>
      </c>
      <c r="Y85" s="3" t="s">
        <v>175</v>
      </c>
      <c r="Z85" t="s">
        <v>33</v>
      </c>
      <c r="AB85" s="3" t="s">
        <v>34</v>
      </c>
      <c r="AG85" t="s">
        <v>35</v>
      </c>
    </row>
    <row r="86" spans="1:34" x14ac:dyDescent="0.35">
      <c r="A86">
        <v>85</v>
      </c>
      <c r="B86">
        <f>_xlfn.XLOOKUP(C86, csl_deposits!B:B, csl_deposits!A:A, "NA", 0,1)</f>
        <v>33</v>
      </c>
      <c r="C86" t="s">
        <v>678</v>
      </c>
      <c r="D86" t="s">
        <v>196</v>
      </c>
      <c r="E86" t="s">
        <v>1184</v>
      </c>
      <c r="F86" s="3"/>
      <c r="G86" t="s">
        <v>0</v>
      </c>
      <c r="H86" t="s">
        <v>1185</v>
      </c>
      <c r="I86" t="s">
        <v>31</v>
      </c>
      <c r="J86" t="s">
        <v>13</v>
      </c>
      <c r="K86" t="s">
        <v>7</v>
      </c>
      <c r="L86" s="4">
        <v>569.59</v>
      </c>
      <c r="M86" s="4">
        <v>0.05</v>
      </c>
      <c r="P86" t="s">
        <v>32</v>
      </c>
      <c r="Q86" t="s">
        <v>9</v>
      </c>
      <c r="R86" s="3"/>
      <c r="S86" s="4">
        <v>569.59</v>
      </c>
      <c r="T86" s="4">
        <v>0.05</v>
      </c>
      <c r="W86">
        <v>2.06</v>
      </c>
      <c r="X86" t="s">
        <v>1032</v>
      </c>
      <c r="Y86" s="3"/>
      <c r="Z86" t="s">
        <v>33</v>
      </c>
      <c r="AB86" s="3" t="s">
        <v>197</v>
      </c>
      <c r="AG86" t="s">
        <v>35</v>
      </c>
    </row>
    <row r="87" spans="1:34" x14ac:dyDescent="0.35">
      <c r="A87">
        <v>86</v>
      </c>
      <c r="B87">
        <f>_xlfn.XLOOKUP(C87, csl_deposits!B:B, csl_deposits!A:A, "NA", 0,1)</f>
        <v>33</v>
      </c>
      <c r="C87" t="s">
        <v>678</v>
      </c>
      <c r="D87" t="s">
        <v>170</v>
      </c>
      <c r="E87" t="s">
        <v>1188</v>
      </c>
      <c r="F87" s="3"/>
      <c r="G87" t="s">
        <v>0</v>
      </c>
      <c r="H87" t="s">
        <v>1185</v>
      </c>
      <c r="I87" t="s">
        <v>172</v>
      </c>
      <c r="J87" t="s">
        <v>0</v>
      </c>
      <c r="K87" t="s">
        <v>7</v>
      </c>
      <c r="L87" s="4">
        <v>569.89</v>
      </c>
      <c r="M87" s="4">
        <v>0.17</v>
      </c>
      <c r="P87" t="s">
        <v>32</v>
      </c>
      <c r="Q87" t="s">
        <v>25</v>
      </c>
      <c r="R87" s="3"/>
      <c r="S87" s="4">
        <v>569.89</v>
      </c>
      <c r="T87" s="4">
        <v>0.17</v>
      </c>
      <c r="W87">
        <v>0.21</v>
      </c>
      <c r="X87" t="s">
        <v>1024</v>
      </c>
      <c r="Y87" s="3" t="s">
        <v>173</v>
      </c>
      <c r="Z87" t="s">
        <v>33</v>
      </c>
      <c r="AB87" s="3" t="s">
        <v>174</v>
      </c>
      <c r="AG87" t="s">
        <v>35</v>
      </c>
    </row>
    <row r="88" spans="1:34" x14ac:dyDescent="0.35">
      <c r="A88">
        <v>87</v>
      </c>
      <c r="B88">
        <f>_xlfn.XLOOKUP(C88, csl_deposits!B:B, csl_deposits!A:A, "NA", 0,1)</f>
        <v>33</v>
      </c>
      <c r="C88" t="s">
        <v>678</v>
      </c>
      <c r="D88" t="s">
        <v>192</v>
      </c>
      <c r="E88" t="s">
        <v>1188</v>
      </c>
      <c r="F88" s="3"/>
      <c r="G88" t="s">
        <v>0</v>
      </c>
      <c r="H88" t="s">
        <v>1185</v>
      </c>
      <c r="I88" t="s">
        <v>172</v>
      </c>
      <c r="J88" t="s">
        <v>0</v>
      </c>
      <c r="K88" t="s">
        <v>7</v>
      </c>
      <c r="L88" s="4">
        <v>566.74</v>
      </c>
      <c r="M88" s="4">
        <v>0.12</v>
      </c>
      <c r="P88" t="s">
        <v>32</v>
      </c>
      <c r="Q88" t="s">
        <v>25</v>
      </c>
      <c r="R88" s="3"/>
      <c r="S88" s="4">
        <v>566.74</v>
      </c>
      <c r="T88" s="4">
        <v>0.12</v>
      </c>
      <c r="W88">
        <v>2.2400000000000002</v>
      </c>
      <c r="X88" t="s">
        <v>1031</v>
      </c>
      <c r="Y88" s="3" t="s">
        <v>193</v>
      </c>
      <c r="Z88" t="s">
        <v>179</v>
      </c>
      <c r="AA88" t="s">
        <v>194</v>
      </c>
      <c r="AB88" s="3" t="s">
        <v>195</v>
      </c>
      <c r="AG88" t="s">
        <v>35</v>
      </c>
    </row>
    <row r="89" spans="1:34" x14ac:dyDescent="0.35">
      <c r="A89">
        <v>88</v>
      </c>
      <c r="B89">
        <f>_xlfn.XLOOKUP(C89, csl_deposits!B:B, csl_deposits!A:A, "NA", 0,1)</f>
        <v>33</v>
      </c>
      <c r="C89" t="s">
        <v>678</v>
      </c>
      <c r="D89" t="s">
        <v>202</v>
      </c>
      <c r="E89" t="s">
        <v>1188</v>
      </c>
      <c r="F89" s="3"/>
      <c r="G89" t="s">
        <v>0</v>
      </c>
      <c r="H89" t="s">
        <v>1185</v>
      </c>
      <c r="I89" t="s">
        <v>61</v>
      </c>
      <c r="J89" t="s">
        <v>0</v>
      </c>
      <c r="K89" t="s">
        <v>7</v>
      </c>
      <c r="L89" s="4">
        <v>575</v>
      </c>
      <c r="M89" s="4">
        <v>7</v>
      </c>
      <c r="P89" t="s">
        <v>14</v>
      </c>
      <c r="Q89" t="s">
        <v>25</v>
      </c>
      <c r="S89" s="4">
        <v>575</v>
      </c>
      <c r="T89" s="4">
        <v>7</v>
      </c>
      <c r="W89">
        <v>0.16</v>
      </c>
      <c r="X89" t="s">
        <v>1261</v>
      </c>
      <c r="Y89" s="3" t="s">
        <v>203</v>
      </c>
      <c r="Z89" t="s">
        <v>33</v>
      </c>
      <c r="AA89" t="s">
        <v>33</v>
      </c>
      <c r="AB89" s="3" t="s">
        <v>204</v>
      </c>
      <c r="AG89" t="s">
        <v>201</v>
      </c>
    </row>
    <row r="90" spans="1:34" x14ac:dyDescent="0.35">
      <c r="A90">
        <v>89</v>
      </c>
      <c r="B90">
        <f>_xlfn.XLOOKUP(C90, csl_deposits!B:B, csl_deposits!A:A, "NA", 0,1)</f>
        <v>33</v>
      </c>
      <c r="C90" t="s">
        <v>678</v>
      </c>
      <c r="D90" t="s">
        <v>205</v>
      </c>
      <c r="E90" t="s">
        <v>1188</v>
      </c>
      <c r="F90" s="3"/>
      <c r="G90" t="s">
        <v>0</v>
      </c>
      <c r="H90" t="s">
        <v>1185</v>
      </c>
      <c r="I90" t="s">
        <v>61</v>
      </c>
      <c r="J90" t="s">
        <v>0</v>
      </c>
      <c r="K90" t="s">
        <v>7</v>
      </c>
      <c r="L90" s="4">
        <v>578</v>
      </c>
      <c r="M90" s="4">
        <v>14</v>
      </c>
      <c r="P90" t="s">
        <v>14</v>
      </c>
      <c r="Q90" t="s">
        <v>25</v>
      </c>
      <c r="S90" s="4">
        <v>578</v>
      </c>
      <c r="T90" s="4">
        <v>14</v>
      </c>
      <c r="W90">
        <v>0.03</v>
      </c>
      <c r="X90" t="s">
        <v>1261</v>
      </c>
      <c r="Y90" s="3" t="s">
        <v>203</v>
      </c>
      <c r="Z90" t="s">
        <v>179</v>
      </c>
      <c r="AA90" t="s">
        <v>180</v>
      </c>
      <c r="AB90" s="3" t="s">
        <v>206</v>
      </c>
      <c r="AG90" t="s">
        <v>201</v>
      </c>
    </row>
    <row r="91" spans="1:34" x14ac:dyDescent="0.35">
      <c r="A91">
        <v>90</v>
      </c>
      <c r="B91">
        <f>_xlfn.XLOOKUP(C91, csl_deposits!B:B, csl_deposits!A:A, "NA", 0,1)</f>
        <v>35</v>
      </c>
      <c r="C91" t="s">
        <v>685</v>
      </c>
      <c r="D91" t="s">
        <v>207</v>
      </c>
      <c r="E91" t="s">
        <v>1190</v>
      </c>
      <c r="F91" t="s">
        <v>1263</v>
      </c>
      <c r="G91" t="s">
        <v>1</v>
      </c>
      <c r="H91" t="s">
        <v>1185</v>
      </c>
      <c r="I91" t="s">
        <v>208</v>
      </c>
      <c r="J91" t="s">
        <v>1</v>
      </c>
      <c r="K91" t="s">
        <v>7</v>
      </c>
      <c r="L91">
        <v>595</v>
      </c>
      <c r="M91">
        <v>4</v>
      </c>
      <c r="Q91" t="s">
        <v>9</v>
      </c>
      <c r="S91">
        <v>595</v>
      </c>
      <c r="T91">
        <v>4</v>
      </c>
      <c r="X91" t="s">
        <v>1262</v>
      </c>
      <c r="Z91" t="s">
        <v>209</v>
      </c>
      <c r="AE91" t="s">
        <v>207</v>
      </c>
      <c r="AF91" t="s">
        <v>1456</v>
      </c>
      <c r="AG91" t="s">
        <v>210</v>
      </c>
      <c r="AH91" t="s">
        <v>212</v>
      </c>
    </row>
    <row r="92" spans="1:34" x14ac:dyDescent="0.35">
      <c r="A92">
        <v>91</v>
      </c>
      <c r="B92">
        <f>_xlfn.XLOOKUP(C92, csl_deposits!B:B, csl_deposits!A:A, "NA", 0,1)</f>
        <v>35</v>
      </c>
      <c r="C92" t="s">
        <v>685</v>
      </c>
      <c r="D92" t="s">
        <v>211</v>
      </c>
      <c r="E92" t="s">
        <v>1184</v>
      </c>
      <c r="G92" t="s">
        <v>0</v>
      </c>
      <c r="H92" t="s">
        <v>1185</v>
      </c>
      <c r="I92" t="s">
        <v>88</v>
      </c>
      <c r="J92" t="s">
        <v>13</v>
      </c>
      <c r="K92" t="s">
        <v>7</v>
      </c>
      <c r="L92">
        <v>601</v>
      </c>
      <c r="M92">
        <v>4</v>
      </c>
      <c r="P92" t="s">
        <v>71</v>
      </c>
      <c r="Q92" t="s">
        <v>9</v>
      </c>
      <c r="S92">
        <v>601</v>
      </c>
      <c r="T92">
        <v>3.7</v>
      </c>
      <c r="W92">
        <v>0.82</v>
      </c>
      <c r="X92" t="s">
        <v>1264</v>
      </c>
      <c r="Z92" t="s">
        <v>209</v>
      </c>
      <c r="AE92" t="s">
        <v>211</v>
      </c>
      <c r="AF92" t="s">
        <v>1457</v>
      </c>
      <c r="AG92" t="s">
        <v>212</v>
      </c>
    </row>
    <row r="93" spans="1:34" x14ac:dyDescent="0.35">
      <c r="A93">
        <v>92</v>
      </c>
      <c r="B93">
        <f>_xlfn.XLOOKUP(C93, csl_deposits!B:B, csl_deposits!A:A, "NA", 0,1)</f>
        <v>36</v>
      </c>
      <c r="C93" t="s">
        <v>693</v>
      </c>
      <c r="D93" t="s">
        <v>213</v>
      </c>
      <c r="E93" t="s">
        <v>1184</v>
      </c>
      <c r="F93" t="s">
        <v>1266</v>
      </c>
      <c r="G93" t="s">
        <v>0</v>
      </c>
      <c r="H93" t="s">
        <v>1185</v>
      </c>
      <c r="I93" t="s">
        <v>214</v>
      </c>
      <c r="J93" t="s">
        <v>0</v>
      </c>
      <c r="K93" t="s">
        <v>7</v>
      </c>
      <c r="L93">
        <v>579</v>
      </c>
      <c r="M93">
        <v>34</v>
      </c>
      <c r="P93" t="s">
        <v>71</v>
      </c>
      <c r="Q93" t="s">
        <v>9</v>
      </c>
      <c r="S93">
        <v>579</v>
      </c>
      <c r="T93">
        <v>34</v>
      </c>
      <c r="W93">
        <v>0.48</v>
      </c>
      <c r="X93" t="s">
        <v>1265</v>
      </c>
      <c r="Y93" s="3"/>
      <c r="Z93" t="s">
        <v>215</v>
      </c>
      <c r="AA93" t="s">
        <v>216</v>
      </c>
      <c r="AE93" t="s">
        <v>217</v>
      </c>
      <c r="AG93" t="s">
        <v>218</v>
      </c>
    </row>
    <row r="94" spans="1:34" x14ac:dyDescent="0.35">
      <c r="A94">
        <v>93</v>
      </c>
      <c r="B94">
        <f>_xlfn.XLOOKUP(C94, csl_deposits!B:B, csl_deposits!A:A, "NA", 0,1)</f>
        <v>36</v>
      </c>
      <c r="C94" t="s">
        <v>693</v>
      </c>
      <c r="D94" t="s">
        <v>219</v>
      </c>
      <c r="E94" t="s">
        <v>1188</v>
      </c>
      <c r="G94" t="s">
        <v>0</v>
      </c>
      <c r="H94" t="s">
        <v>1185</v>
      </c>
      <c r="I94" t="s">
        <v>115</v>
      </c>
      <c r="J94" t="s">
        <v>0</v>
      </c>
      <c r="K94" t="s">
        <v>7</v>
      </c>
      <c r="L94">
        <v>593</v>
      </c>
      <c r="M94">
        <v>15</v>
      </c>
      <c r="P94" t="s">
        <v>71</v>
      </c>
      <c r="Q94" t="s">
        <v>25</v>
      </c>
      <c r="S94">
        <v>593</v>
      </c>
      <c r="T94">
        <v>15</v>
      </c>
      <c r="W94">
        <v>1.07</v>
      </c>
      <c r="X94" t="s">
        <v>1267</v>
      </c>
      <c r="Y94" s="3"/>
      <c r="Z94" t="s">
        <v>215</v>
      </c>
      <c r="AB94" t="s">
        <v>220</v>
      </c>
      <c r="AE94" t="s">
        <v>221</v>
      </c>
      <c r="AG94" t="s">
        <v>218</v>
      </c>
    </row>
    <row r="95" spans="1:34" x14ac:dyDescent="0.35">
      <c r="A95">
        <v>94</v>
      </c>
      <c r="B95">
        <f>_xlfn.XLOOKUP(C95, csl_deposits!B:B, csl_deposits!A:A, "NA", 0,1)</f>
        <v>37</v>
      </c>
      <c r="C95" t="s">
        <v>698</v>
      </c>
      <c r="E95" t="s">
        <v>1190</v>
      </c>
      <c r="F95" t="s">
        <v>1268</v>
      </c>
      <c r="G95" t="s">
        <v>1</v>
      </c>
      <c r="H95" t="s">
        <v>1208</v>
      </c>
      <c r="J95" t="s">
        <v>1</v>
      </c>
      <c r="L95">
        <v>538.79999999999995</v>
      </c>
      <c r="AG95" t="s">
        <v>1269</v>
      </c>
    </row>
    <row r="96" spans="1:34" x14ac:dyDescent="0.35">
      <c r="A96">
        <v>95</v>
      </c>
      <c r="B96">
        <f>_xlfn.XLOOKUP(C96, csl_deposits!B:B, csl_deposits!A:A, "NA", 0,1)</f>
        <v>37</v>
      </c>
      <c r="C96" t="s">
        <v>698</v>
      </c>
      <c r="E96" t="s">
        <v>1184</v>
      </c>
      <c r="F96" t="s">
        <v>1268</v>
      </c>
      <c r="G96" t="s">
        <v>0</v>
      </c>
      <c r="H96" t="s">
        <v>1208</v>
      </c>
      <c r="J96" t="s">
        <v>0</v>
      </c>
      <c r="L96">
        <v>629</v>
      </c>
      <c r="M96">
        <v>8</v>
      </c>
      <c r="AG96" t="s">
        <v>1269</v>
      </c>
    </row>
    <row r="97" spans="1:34" x14ac:dyDescent="0.35">
      <c r="A97">
        <v>96</v>
      </c>
      <c r="B97">
        <f>_xlfn.XLOOKUP(C97, csl_deposits!B:B, csl_deposits!A:A, "NA", 0,1)</f>
        <v>38</v>
      </c>
      <c r="C97" t="s">
        <v>702</v>
      </c>
      <c r="D97" t="s">
        <v>222</v>
      </c>
      <c r="E97" t="s">
        <v>1190</v>
      </c>
      <c r="F97" s="6" t="s">
        <v>1270</v>
      </c>
      <c r="G97" t="s">
        <v>1</v>
      </c>
      <c r="H97" t="s">
        <v>1185</v>
      </c>
      <c r="I97" t="s">
        <v>223</v>
      </c>
      <c r="J97" t="s">
        <v>13</v>
      </c>
      <c r="K97" t="s">
        <v>7</v>
      </c>
      <c r="L97" s="5">
        <v>574.9</v>
      </c>
      <c r="M97" s="5">
        <v>3</v>
      </c>
      <c r="P97" t="s">
        <v>14</v>
      </c>
      <c r="Q97" t="s">
        <v>9</v>
      </c>
      <c r="R97" s="3"/>
      <c r="S97" s="5">
        <v>574.9</v>
      </c>
      <c r="T97" s="5">
        <v>3</v>
      </c>
      <c r="U97" s="6"/>
      <c r="V97" s="6"/>
      <c r="W97" s="6">
        <v>2.1</v>
      </c>
      <c r="X97" t="s">
        <v>1051</v>
      </c>
      <c r="Z97" t="s">
        <v>224</v>
      </c>
      <c r="AG97" t="s">
        <v>225</v>
      </c>
    </row>
    <row r="98" spans="1:34" x14ac:dyDescent="0.35">
      <c r="A98">
        <v>97</v>
      </c>
      <c r="B98">
        <v>39</v>
      </c>
      <c r="C98" t="s">
        <v>702</v>
      </c>
      <c r="D98" t="s">
        <v>226</v>
      </c>
      <c r="E98" t="s">
        <v>1190</v>
      </c>
      <c r="F98" s="6" t="s">
        <v>1272</v>
      </c>
      <c r="G98" t="s">
        <v>1</v>
      </c>
      <c r="H98" t="s">
        <v>1185</v>
      </c>
      <c r="I98" t="s">
        <v>84</v>
      </c>
      <c r="J98" t="s">
        <v>13</v>
      </c>
      <c r="K98" t="s">
        <v>7</v>
      </c>
      <c r="L98">
        <v>578.6</v>
      </c>
      <c r="M98">
        <v>4.8</v>
      </c>
      <c r="P98" t="s">
        <v>71</v>
      </c>
      <c r="Q98" t="s">
        <v>9</v>
      </c>
      <c r="S98">
        <v>578.6</v>
      </c>
      <c r="T98">
        <v>4.8</v>
      </c>
      <c r="U98" s="6"/>
      <c r="V98" s="6"/>
      <c r="W98" s="6">
        <v>3.1E-2</v>
      </c>
      <c r="X98" t="s">
        <v>1271</v>
      </c>
      <c r="Z98" t="s">
        <v>224</v>
      </c>
      <c r="AG98" t="s">
        <v>227</v>
      </c>
    </row>
    <row r="99" spans="1:34" x14ac:dyDescent="0.35">
      <c r="A99">
        <v>98</v>
      </c>
      <c r="B99">
        <f>_xlfn.XLOOKUP(C99, csl_deposits!B:B, csl_deposits!A:A, "NA", 0,1)</f>
        <v>38</v>
      </c>
      <c r="C99" t="s">
        <v>702</v>
      </c>
      <c r="D99" t="s">
        <v>228</v>
      </c>
      <c r="E99" t="s">
        <v>1184</v>
      </c>
      <c r="F99" s="6" t="s">
        <v>1273</v>
      </c>
      <c r="G99" t="s">
        <v>0</v>
      </c>
      <c r="H99" t="s">
        <v>1185</v>
      </c>
      <c r="I99" t="s">
        <v>223</v>
      </c>
      <c r="J99" t="s">
        <v>13</v>
      </c>
      <c r="K99" t="s">
        <v>7</v>
      </c>
      <c r="L99" s="5">
        <v>593.12</v>
      </c>
      <c r="M99" s="5">
        <v>0.14000000000000001</v>
      </c>
      <c r="P99" t="s">
        <v>32</v>
      </c>
      <c r="Q99" t="s">
        <v>9</v>
      </c>
      <c r="R99" s="3"/>
      <c r="S99" s="5">
        <v>593.12</v>
      </c>
      <c r="T99" s="5">
        <v>0.14000000000000001</v>
      </c>
      <c r="U99" s="6"/>
      <c r="V99" s="6"/>
      <c r="W99" s="6"/>
      <c r="X99" t="s">
        <v>1049</v>
      </c>
      <c r="AC99" t="s">
        <v>230</v>
      </c>
      <c r="AG99" t="s">
        <v>225</v>
      </c>
    </row>
    <row r="100" spans="1:34" x14ac:dyDescent="0.35">
      <c r="A100">
        <v>99</v>
      </c>
      <c r="B100">
        <f>_xlfn.XLOOKUP(C100, csl_deposits!B:B, csl_deposits!A:A, "NA", 0,1)</f>
        <v>39</v>
      </c>
      <c r="C100" t="s">
        <v>708</v>
      </c>
      <c r="E100" t="s">
        <v>1190</v>
      </c>
      <c r="F100" s="3" t="s">
        <v>1507</v>
      </c>
      <c r="G100" t="s">
        <v>1</v>
      </c>
      <c r="H100" t="s">
        <v>1191</v>
      </c>
      <c r="I100" t="s">
        <v>28</v>
      </c>
      <c r="J100" t="s">
        <v>1</v>
      </c>
      <c r="L100">
        <v>538.79999999999995</v>
      </c>
      <c r="S100" s="5"/>
      <c r="T100" s="5"/>
      <c r="Y100" s="3"/>
      <c r="Z100" s="5"/>
      <c r="AA100" s="5"/>
      <c r="AB100" s="6" t="s">
        <v>1508</v>
      </c>
      <c r="AC100" s="6" t="s">
        <v>1509</v>
      </c>
      <c r="AD100" s="6"/>
      <c r="AF100" t="s">
        <v>1510</v>
      </c>
      <c r="AG100" t="s">
        <v>234</v>
      </c>
    </row>
    <row r="101" spans="1:34" x14ac:dyDescent="0.35">
      <c r="A101">
        <v>100</v>
      </c>
      <c r="B101">
        <f>_xlfn.XLOOKUP(C101, csl_deposits!B:B, csl_deposits!A:A, "NA", 0,1)</f>
        <v>39</v>
      </c>
      <c r="C101" t="s">
        <v>708</v>
      </c>
      <c r="D101" t="s">
        <v>236</v>
      </c>
      <c r="E101" t="s">
        <v>1190</v>
      </c>
      <c r="F101" t="s">
        <v>1070</v>
      </c>
      <c r="H101" t="s">
        <v>1185</v>
      </c>
      <c r="I101" t="s">
        <v>79</v>
      </c>
      <c r="J101" t="s">
        <v>0</v>
      </c>
      <c r="K101" t="s">
        <v>7</v>
      </c>
      <c r="L101" s="5">
        <v>550.29999999999995</v>
      </c>
      <c r="M101" s="5">
        <v>3.6</v>
      </c>
      <c r="P101" t="s">
        <v>14</v>
      </c>
      <c r="Q101" t="s">
        <v>25</v>
      </c>
      <c r="R101" s="3"/>
      <c r="S101" s="5">
        <v>550.29999999999995</v>
      </c>
      <c r="T101" s="5">
        <v>3.6</v>
      </c>
      <c r="X101" t="s">
        <v>1071</v>
      </c>
      <c r="AB101" t="s">
        <v>232</v>
      </c>
      <c r="AD101" t="s">
        <v>233</v>
      </c>
      <c r="AG101" t="s">
        <v>234</v>
      </c>
    </row>
    <row r="102" spans="1:34" x14ac:dyDescent="0.35">
      <c r="A102">
        <v>101</v>
      </c>
      <c r="B102">
        <f>_xlfn.XLOOKUP(C102, csl_deposits!B:B, csl_deposits!A:A, "NA", 0,1)</f>
        <v>39</v>
      </c>
      <c r="C102" t="s">
        <v>708</v>
      </c>
      <c r="D102" t="s">
        <v>237</v>
      </c>
      <c r="E102" t="s">
        <v>1190</v>
      </c>
      <c r="F102" t="s">
        <v>1070</v>
      </c>
      <c r="H102" t="s">
        <v>1185</v>
      </c>
      <c r="I102" t="s">
        <v>79</v>
      </c>
      <c r="J102" t="s">
        <v>0</v>
      </c>
      <c r="K102" t="s">
        <v>7</v>
      </c>
      <c r="L102" s="5">
        <v>571.29999999999995</v>
      </c>
      <c r="M102" s="5">
        <v>12.3</v>
      </c>
      <c r="P102" t="s">
        <v>14</v>
      </c>
      <c r="Q102" t="s">
        <v>25</v>
      </c>
      <c r="R102" s="3"/>
      <c r="S102" s="5">
        <v>571.29999999999995</v>
      </c>
      <c r="T102" s="5">
        <v>12.3</v>
      </c>
      <c r="X102" t="s">
        <v>1071</v>
      </c>
      <c r="AB102" t="s">
        <v>232</v>
      </c>
      <c r="AD102" t="s">
        <v>233</v>
      </c>
      <c r="AG102" t="s">
        <v>234</v>
      </c>
    </row>
    <row r="103" spans="1:34" x14ac:dyDescent="0.35">
      <c r="A103">
        <v>102</v>
      </c>
      <c r="B103">
        <f>_xlfn.XLOOKUP(C103, csl_deposits!B:B, csl_deposits!A:A, "NA", 0,1)</f>
        <v>39</v>
      </c>
      <c r="C103" t="s">
        <v>708</v>
      </c>
      <c r="D103" t="s">
        <v>231</v>
      </c>
      <c r="E103" t="s">
        <v>1184</v>
      </c>
      <c r="F103" t="s">
        <v>1070</v>
      </c>
      <c r="G103" t="s">
        <v>0</v>
      </c>
      <c r="H103" t="s">
        <v>1185</v>
      </c>
      <c r="I103" t="s">
        <v>79</v>
      </c>
      <c r="J103" t="s">
        <v>0</v>
      </c>
      <c r="K103" t="s">
        <v>7</v>
      </c>
      <c r="L103" s="5">
        <v>562</v>
      </c>
      <c r="M103" s="5">
        <v>11.3</v>
      </c>
      <c r="P103" t="s">
        <v>14</v>
      </c>
      <c r="Q103" t="s">
        <v>25</v>
      </c>
      <c r="R103" s="3"/>
      <c r="S103" s="5">
        <v>562</v>
      </c>
      <c r="T103" s="5">
        <v>11.3</v>
      </c>
      <c r="X103" t="s">
        <v>1071</v>
      </c>
      <c r="AB103" t="s">
        <v>232</v>
      </c>
      <c r="AD103" t="s">
        <v>233</v>
      </c>
      <c r="AF103" t="s">
        <v>922</v>
      </c>
      <c r="AG103" t="s">
        <v>234</v>
      </c>
    </row>
    <row r="104" spans="1:34" x14ac:dyDescent="0.35">
      <c r="A104">
        <v>103</v>
      </c>
      <c r="B104">
        <f>_xlfn.XLOOKUP(C104, csl_deposits!B:B, csl_deposits!A:A, "NA", 0,1)</f>
        <v>39</v>
      </c>
      <c r="C104" t="s">
        <v>708</v>
      </c>
      <c r="D104" t="s">
        <v>235</v>
      </c>
      <c r="E104" t="s">
        <v>1184</v>
      </c>
      <c r="F104" t="s">
        <v>1070</v>
      </c>
      <c r="G104" t="s">
        <v>0</v>
      </c>
      <c r="H104" t="s">
        <v>1185</v>
      </c>
      <c r="I104" t="s">
        <v>79</v>
      </c>
      <c r="J104" t="s">
        <v>0</v>
      </c>
      <c r="K104" t="s">
        <v>7</v>
      </c>
      <c r="L104" s="5">
        <v>563.1</v>
      </c>
      <c r="M104" s="5">
        <v>3.9</v>
      </c>
      <c r="P104" t="s">
        <v>14</v>
      </c>
      <c r="Q104" t="s">
        <v>25</v>
      </c>
      <c r="R104" s="3"/>
      <c r="S104" s="5">
        <v>563.1</v>
      </c>
      <c r="T104" s="5">
        <v>3.9</v>
      </c>
      <c r="X104" t="s">
        <v>1071</v>
      </c>
      <c r="AB104" t="s">
        <v>232</v>
      </c>
      <c r="AD104" t="s">
        <v>233</v>
      </c>
      <c r="AG104" t="s">
        <v>234</v>
      </c>
    </row>
    <row r="105" spans="1:34" x14ac:dyDescent="0.35">
      <c r="A105">
        <v>104</v>
      </c>
      <c r="B105">
        <f>_xlfn.XLOOKUP(C105, csl_deposits!B:B, csl_deposits!A:A, "NA", 0,1)</f>
        <v>40</v>
      </c>
      <c r="C105" t="s">
        <v>714</v>
      </c>
      <c r="E105" t="s">
        <v>1190</v>
      </c>
      <c r="F105" t="s">
        <v>1275</v>
      </c>
      <c r="H105" t="s">
        <v>1022</v>
      </c>
      <c r="I105" t="s">
        <v>28</v>
      </c>
      <c r="J105" t="s">
        <v>1</v>
      </c>
      <c r="K105" t="s">
        <v>1198</v>
      </c>
      <c r="L105" s="5">
        <v>574</v>
      </c>
      <c r="M105" s="5">
        <v>4.7</v>
      </c>
      <c r="N105" t="s">
        <v>1007</v>
      </c>
      <c r="O105" t="s">
        <v>1206</v>
      </c>
      <c r="R105" s="3"/>
      <c r="S105" s="5"/>
      <c r="T105" s="5"/>
      <c r="Z105" t="s">
        <v>241</v>
      </c>
      <c r="AB105" t="s">
        <v>1076</v>
      </c>
      <c r="AD105" t="s">
        <v>1276</v>
      </c>
      <c r="AF105" t="s">
        <v>1277</v>
      </c>
      <c r="AG105" t="s">
        <v>245</v>
      </c>
    </row>
    <row r="106" spans="1:34" x14ac:dyDescent="0.35">
      <c r="A106">
        <v>105</v>
      </c>
      <c r="B106">
        <f>_xlfn.XLOOKUP(C106, csl_deposits!B:B, csl_deposits!A:A, "NA", 0,1)</f>
        <v>40</v>
      </c>
      <c r="C106" t="s">
        <v>714</v>
      </c>
      <c r="E106" t="s">
        <v>1190</v>
      </c>
      <c r="F106" t="s">
        <v>1275</v>
      </c>
      <c r="H106" t="s">
        <v>1022</v>
      </c>
      <c r="I106" t="s">
        <v>28</v>
      </c>
      <c r="J106" t="s">
        <v>1</v>
      </c>
      <c r="K106" t="s">
        <v>1198</v>
      </c>
      <c r="L106" s="5">
        <v>574</v>
      </c>
      <c r="M106" s="5">
        <v>4.7</v>
      </c>
      <c r="N106" t="s">
        <v>1007</v>
      </c>
      <c r="O106" t="s">
        <v>1206</v>
      </c>
      <c r="R106" s="3"/>
      <c r="S106" s="5"/>
      <c r="T106" s="5"/>
      <c r="Z106" t="s">
        <v>246</v>
      </c>
      <c r="AB106" t="s">
        <v>1278</v>
      </c>
      <c r="AF106" t="s">
        <v>1277</v>
      </c>
      <c r="AG106" t="s">
        <v>245</v>
      </c>
    </row>
    <row r="107" spans="1:34" x14ac:dyDescent="0.35">
      <c r="A107">
        <v>106</v>
      </c>
      <c r="B107">
        <f>_xlfn.XLOOKUP(C107, csl_deposits!B:B, csl_deposits!A:A, "NA", 0,1)</f>
        <v>40</v>
      </c>
      <c r="C107" t="s">
        <v>714</v>
      </c>
      <c r="E107" t="s">
        <v>1190</v>
      </c>
      <c r="F107" t="s">
        <v>1275</v>
      </c>
      <c r="H107" t="s">
        <v>1022</v>
      </c>
      <c r="I107" t="s">
        <v>28</v>
      </c>
      <c r="J107" t="s">
        <v>1</v>
      </c>
      <c r="K107" t="s">
        <v>1198</v>
      </c>
      <c r="L107" s="5">
        <v>574</v>
      </c>
      <c r="M107" s="5">
        <v>4.7</v>
      </c>
      <c r="N107" t="s">
        <v>1007</v>
      </c>
      <c r="O107" t="s">
        <v>1206</v>
      </c>
      <c r="R107" s="3"/>
      <c r="S107" s="5"/>
      <c r="T107" s="5"/>
      <c r="Z107" t="s">
        <v>246</v>
      </c>
      <c r="AB107" t="s">
        <v>1279</v>
      </c>
      <c r="AF107" t="s">
        <v>1277</v>
      </c>
      <c r="AG107" t="s">
        <v>245</v>
      </c>
    </row>
    <row r="108" spans="1:34" x14ac:dyDescent="0.35">
      <c r="A108">
        <v>107</v>
      </c>
      <c r="B108">
        <f>_xlfn.XLOOKUP(C108, csl_deposits!B:B, csl_deposits!A:A, "NA", 0,1)</f>
        <v>40</v>
      </c>
      <c r="C108" t="s">
        <v>714</v>
      </c>
      <c r="D108" t="s">
        <v>238</v>
      </c>
      <c r="E108" t="s">
        <v>1190</v>
      </c>
      <c r="F108" t="s">
        <v>1073</v>
      </c>
      <c r="G108" t="s">
        <v>1</v>
      </c>
      <c r="H108" t="s">
        <v>1185</v>
      </c>
      <c r="I108" t="s">
        <v>88</v>
      </c>
      <c r="J108" t="s">
        <v>13</v>
      </c>
      <c r="K108" t="s">
        <v>7</v>
      </c>
      <c r="L108" s="5">
        <v>567.20000000000005</v>
      </c>
      <c r="M108" s="5">
        <v>3.9</v>
      </c>
      <c r="P108" t="s">
        <v>240</v>
      </c>
      <c r="Q108" t="s">
        <v>9</v>
      </c>
      <c r="R108" s="3"/>
      <c r="S108" s="5">
        <v>567.20000000000005</v>
      </c>
      <c r="T108" s="5">
        <v>3.9</v>
      </c>
      <c r="W108">
        <v>1.1399999999999999</v>
      </c>
      <c r="X108" t="s">
        <v>1074</v>
      </c>
      <c r="Z108" t="s">
        <v>241</v>
      </c>
      <c r="AB108" t="s">
        <v>242</v>
      </c>
      <c r="AF108" t="s">
        <v>1274</v>
      </c>
      <c r="AG108" t="s">
        <v>243</v>
      </c>
      <c r="AH108" t="s">
        <v>244</v>
      </c>
    </row>
    <row r="109" spans="1:34" x14ac:dyDescent="0.35">
      <c r="A109">
        <v>108</v>
      </c>
      <c r="B109">
        <f>_xlfn.XLOOKUP(C109, csl_deposits!B:B, csl_deposits!A:A, "NA", 0,1)</f>
        <v>40</v>
      </c>
      <c r="C109" t="s">
        <v>714</v>
      </c>
      <c r="D109" t="s">
        <v>247</v>
      </c>
      <c r="E109" t="s">
        <v>1184</v>
      </c>
      <c r="F109" t="s">
        <v>1073</v>
      </c>
      <c r="G109" t="s">
        <v>0</v>
      </c>
      <c r="H109" t="s">
        <v>1185</v>
      </c>
      <c r="I109" t="s">
        <v>248</v>
      </c>
      <c r="J109" t="s">
        <v>13</v>
      </c>
      <c r="K109" t="s">
        <v>7</v>
      </c>
      <c r="L109" s="5">
        <v>598.1</v>
      </c>
      <c r="M109" s="5">
        <v>6</v>
      </c>
      <c r="P109" t="s">
        <v>14</v>
      </c>
      <c r="Q109" t="s">
        <v>9</v>
      </c>
      <c r="R109" s="3"/>
      <c r="S109" s="5">
        <v>598.1</v>
      </c>
      <c r="T109" s="5">
        <v>6</v>
      </c>
      <c r="W109">
        <v>1.3</v>
      </c>
      <c r="X109" t="s">
        <v>1077</v>
      </c>
      <c r="Z109" t="s">
        <v>246</v>
      </c>
      <c r="AB109" t="s">
        <v>249</v>
      </c>
      <c r="AF109" t="s">
        <v>1274</v>
      </c>
      <c r="AG109" t="s">
        <v>244</v>
      </c>
    </row>
    <row r="110" spans="1:34" x14ac:dyDescent="0.35">
      <c r="A110">
        <v>109</v>
      </c>
      <c r="B110">
        <f>_xlfn.XLOOKUP(C110, csl_deposits!B:B, csl_deposits!A:A, "NA", 0,1)</f>
        <v>41</v>
      </c>
      <c r="C110" t="s">
        <v>720</v>
      </c>
      <c r="E110" t="s">
        <v>1190</v>
      </c>
      <c r="F110" t="s">
        <v>1281</v>
      </c>
      <c r="G110" t="s">
        <v>1</v>
      </c>
      <c r="H110" t="s">
        <v>1185</v>
      </c>
      <c r="I110" t="s">
        <v>250</v>
      </c>
      <c r="J110" t="s">
        <v>1</v>
      </c>
      <c r="K110" t="s">
        <v>7</v>
      </c>
      <c r="L110">
        <v>709.9</v>
      </c>
      <c r="M110">
        <v>7.3</v>
      </c>
      <c r="P110" t="s">
        <v>71</v>
      </c>
      <c r="Q110" t="s">
        <v>9</v>
      </c>
      <c r="S110">
        <v>709.9</v>
      </c>
      <c r="T110">
        <v>7.3</v>
      </c>
      <c r="X110" t="s">
        <v>1280</v>
      </c>
      <c r="Y110" s="3"/>
      <c r="Z110" t="s">
        <v>251</v>
      </c>
      <c r="AD110" t="s">
        <v>250</v>
      </c>
      <c r="AF110" t="s">
        <v>1282</v>
      </c>
      <c r="AG110" t="s">
        <v>252</v>
      </c>
      <c r="AH110" t="s">
        <v>245</v>
      </c>
    </row>
    <row r="111" spans="1:34" x14ac:dyDescent="0.35">
      <c r="A111">
        <v>110</v>
      </c>
      <c r="B111">
        <f>_xlfn.XLOOKUP(C111, csl_deposits!B:B, csl_deposits!A:A, "NA", 0,1)</f>
        <v>44</v>
      </c>
      <c r="C111" t="s">
        <v>732</v>
      </c>
      <c r="D111" t="s">
        <v>253</v>
      </c>
      <c r="E111" t="s">
        <v>1190</v>
      </c>
      <c r="F111" s="3"/>
      <c r="G111" t="s">
        <v>1</v>
      </c>
      <c r="H111" t="s">
        <v>1185</v>
      </c>
      <c r="I111" t="s">
        <v>255</v>
      </c>
      <c r="J111" t="s">
        <v>6</v>
      </c>
      <c r="K111" t="s">
        <v>158</v>
      </c>
      <c r="L111">
        <v>520</v>
      </c>
      <c r="M111">
        <v>5</v>
      </c>
      <c r="Q111" t="s">
        <v>255</v>
      </c>
      <c r="S111">
        <v>520</v>
      </c>
      <c r="T111">
        <v>5</v>
      </c>
      <c r="W111">
        <v>2.403</v>
      </c>
      <c r="X111" t="s">
        <v>1283</v>
      </c>
      <c r="AB111" t="s">
        <v>256</v>
      </c>
      <c r="AG111" t="s">
        <v>257</v>
      </c>
    </row>
    <row r="112" spans="1:34" x14ac:dyDescent="0.35">
      <c r="A112">
        <v>111</v>
      </c>
      <c r="B112">
        <f>_xlfn.XLOOKUP(C112, csl_deposits!B:B, csl_deposits!A:A, "NA", 0,1)</f>
        <v>44</v>
      </c>
      <c r="C112" t="s">
        <v>732</v>
      </c>
      <c r="D112" t="s">
        <v>258</v>
      </c>
      <c r="E112" t="s">
        <v>1190</v>
      </c>
      <c r="G112" t="s">
        <v>1</v>
      </c>
      <c r="H112" t="s">
        <v>1185</v>
      </c>
      <c r="I112" t="s">
        <v>255</v>
      </c>
      <c r="J112" t="s">
        <v>6</v>
      </c>
      <c r="K112" t="s">
        <v>40</v>
      </c>
      <c r="L112">
        <v>579</v>
      </c>
      <c r="M112">
        <v>1.5</v>
      </c>
      <c r="Q112" t="s">
        <v>255</v>
      </c>
      <c r="S112">
        <v>579</v>
      </c>
      <c r="T112">
        <v>1.5</v>
      </c>
      <c r="X112" t="s">
        <v>1284</v>
      </c>
      <c r="AB112" t="s">
        <v>259</v>
      </c>
      <c r="AG112" t="s">
        <v>260</v>
      </c>
    </row>
    <row r="113" spans="1:35" x14ac:dyDescent="0.35">
      <c r="A113">
        <v>112</v>
      </c>
      <c r="B113">
        <f>_xlfn.XLOOKUP(C113, csl_deposits!B:B, csl_deposits!A:A, "NA", 0,1)</f>
        <v>44</v>
      </c>
      <c r="C113" t="s">
        <v>732</v>
      </c>
      <c r="D113" t="s">
        <v>261</v>
      </c>
      <c r="E113" t="s">
        <v>1184</v>
      </c>
      <c r="F113" t="s">
        <v>1286</v>
      </c>
      <c r="G113" t="s">
        <v>0</v>
      </c>
      <c r="H113" t="s">
        <v>1185</v>
      </c>
      <c r="I113" t="s">
        <v>250</v>
      </c>
      <c r="J113" t="s">
        <v>0</v>
      </c>
      <c r="K113" t="s">
        <v>7</v>
      </c>
      <c r="L113">
        <v>590</v>
      </c>
      <c r="M113">
        <v>2</v>
      </c>
      <c r="P113" t="s">
        <v>71</v>
      </c>
      <c r="Q113" t="s">
        <v>9</v>
      </c>
      <c r="S113">
        <v>590</v>
      </c>
      <c r="T113">
        <v>2</v>
      </c>
      <c r="W113">
        <v>1.06</v>
      </c>
      <c r="X113" t="s">
        <v>1285</v>
      </c>
      <c r="Z113" t="s">
        <v>263</v>
      </c>
      <c r="AD113" t="s">
        <v>250</v>
      </c>
      <c r="AG113" t="s">
        <v>264</v>
      </c>
    </row>
    <row r="114" spans="1:35" x14ac:dyDescent="0.35">
      <c r="A114">
        <v>113</v>
      </c>
      <c r="B114">
        <f>_xlfn.XLOOKUP(C114, csl_deposits!B:B, csl_deposits!A:A, "NA", 0,1)</f>
        <v>47</v>
      </c>
      <c r="C114" t="s">
        <v>746</v>
      </c>
      <c r="D114" t="s">
        <v>207</v>
      </c>
      <c r="E114" t="s">
        <v>1190</v>
      </c>
      <c r="F114" t="s">
        <v>1263</v>
      </c>
      <c r="G114" t="s">
        <v>1</v>
      </c>
      <c r="H114" t="s">
        <v>1185</v>
      </c>
      <c r="I114" t="s">
        <v>208</v>
      </c>
      <c r="J114" t="s">
        <v>1</v>
      </c>
      <c r="K114" t="s">
        <v>7</v>
      </c>
      <c r="L114">
        <v>595</v>
      </c>
      <c r="M114">
        <v>4</v>
      </c>
      <c r="Q114" t="s">
        <v>9</v>
      </c>
      <c r="S114">
        <v>595</v>
      </c>
      <c r="T114">
        <v>4</v>
      </c>
      <c r="X114" t="s">
        <v>1262</v>
      </c>
      <c r="Z114" t="s">
        <v>209</v>
      </c>
      <c r="AE114" t="s">
        <v>207</v>
      </c>
      <c r="AF114" t="s">
        <v>1453</v>
      </c>
      <c r="AG114" t="s">
        <v>210</v>
      </c>
      <c r="AH114" t="s">
        <v>212</v>
      </c>
    </row>
    <row r="115" spans="1:35" x14ac:dyDescent="0.35">
      <c r="A115">
        <v>114</v>
      </c>
      <c r="B115">
        <f>_xlfn.XLOOKUP(C115, csl_deposits!B:B, csl_deposits!A:A, "NA", 0,1)</f>
        <v>47</v>
      </c>
      <c r="C115" t="s">
        <v>746</v>
      </c>
      <c r="D115" t="s">
        <v>211</v>
      </c>
      <c r="E115" t="s">
        <v>1184</v>
      </c>
      <c r="G115" t="s">
        <v>0</v>
      </c>
      <c r="H115" t="s">
        <v>1185</v>
      </c>
      <c r="I115" t="s">
        <v>88</v>
      </c>
      <c r="J115" t="s">
        <v>13</v>
      </c>
      <c r="K115" t="s">
        <v>7</v>
      </c>
      <c r="L115">
        <v>601</v>
      </c>
      <c r="M115">
        <v>4</v>
      </c>
      <c r="P115" t="s">
        <v>71</v>
      </c>
      <c r="Q115" t="s">
        <v>9</v>
      </c>
      <c r="S115">
        <v>601</v>
      </c>
      <c r="T115">
        <v>3.7</v>
      </c>
      <c r="W115">
        <v>0.82</v>
      </c>
      <c r="X115" t="s">
        <v>1264</v>
      </c>
      <c r="Z115" t="s">
        <v>209</v>
      </c>
      <c r="AE115" t="s">
        <v>211</v>
      </c>
      <c r="AG115" t="s">
        <v>212</v>
      </c>
    </row>
    <row r="116" spans="1:35" x14ac:dyDescent="0.35">
      <c r="A116">
        <v>115</v>
      </c>
      <c r="B116">
        <f>_xlfn.XLOOKUP(C116, csl_deposits!B:B, csl_deposits!A:A, "NA", 0,1)</f>
        <v>48</v>
      </c>
      <c r="C116" t="s">
        <v>753</v>
      </c>
      <c r="E116" t="s">
        <v>1190</v>
      </c>
      <c r="F116" t="s">
        <v>1287</v>
      </c>
      <c r="G116" t="s">
        <v>1</v>
      </c>
      <c r="H116" t="s">
        <v>1191</v>
      </c>
      <c r="I116" t="s">
        <v>79</v>
      </c>
      <c r="J116" t="s">
        <v>1</v>
      </c>
      <c r="L116">
        <v>538.79999999999995</v>
      </c>
      <c r="AB116" t="s">
        <v>984</v>
      </c>
      <c r="AD116" t="s">
        <v>985</v>
      </c>
      <c r="AG116" t="s">
        <v>1259</v>
      </c>
    </row>
    <row r="117" spans="1:35" x14ac:dyDescent="0.35">
      <c r="A117">
        <v>116</v>
      </c>
      <c r="B117">
        <f>_xlfn.XLOOKUP(C117, csl_deposits!B:B, csl_deposits!A:A, "NA", 0,1)</f>
        <v>50</v>
      </c>
      <c r="C117" t="s">
        <v>763</v>
      </c>
      <c r="D117" t="s">
        <v>139</v>
      </c>
      <c r="E117" t="s">
        <v>1190</v>
      </c>
      <c r="F117" t="s">
        <v>1018</v>
      </c>
      <c r="G117" t="s">
        <v>1</v>
      </c>
      <c r="H117" t="s">
        <v>1185</v>
      </c>
      <c r="I117" t="s">
        <v>88</v>
      </c>
      <c r="J117" t="s">
        <v>13</v>
      </c>
      <c r="K117" t="s">
        <v>7</v>
      </c>
      <c r="L117" s="5">
        <v>580.34</v>
      </c>
      <c r="M117">
        <v>0.88</v>
      </c>
      <c r="P117" t="s">
        <v>32</v>
      </c>
      <c r="Q117" t="s">
        <v>9</v>
      </c>
      <c r="R117" s="3" t="s">
        <v>140</v>
      </c>
      <c r="S117" s="5">
        <v>580.34</v>
      </c>
      <c r="T117" s="5">
        <v>0.52</v>
      </c>
      <c r="U117">
        <v>0.62</v>
      </c>
      <c r="V117">
        <v>0.88</v>
      </c>
      <c r="W117">
        <v>0.36</v>
      </c>
      <c r="X117" t="s">
        <v>1288</v>
      </c>
      <c r="Z117" t="s">
        <v>136</v>
      </c>
      <c r="AB117" t="s">
        <v>141</v>
      </c>
      <c r="AF117" t="s">
        <v>919</v>
      </c>
      <c r="AG117" t="s">
        <v>138</v>
      </c>
    </row>
    <row r="118" spans="1:35" x14ac:dyDescent="0.35">
      <c r="A118">
        <v>117</v>
      </c>
      <c r="B118">
        <f>_xlfn.XLOOKUP(C118, csl_deposits!B:B, csl_deposits!A:A, "NA", 0,1)</f>
        <v>50</v>
      </c>
      <c r="C118" t="s">
        <v>763</v>
      </c>
      <c r="D118" t="s">
        <v>142</v>
      </c>
      <c r="E118" t="s">
        <v>1190</v>
      </c>
      <c r="F118" t="s">
        <v>1018</v>
      </c>
      <c r="G118" t="s">
        <v>1</v>
      </c>
      <c r="H118" t="s">
        <v>1185</v>
      </c>
      <c r="I118" t="s">
        <v>88</v>
      </c>
      <c r="J118" t="s">
        <v>13</v>
      </c>
      <c r="K118" t="s">
        <v>7</v>
      </c>
      <c r="L118" s="5">
        <v>580.9</v>
      </c>
      <c r="M118">
        <v>0.82</v>
      </c>
      <c r="P118" t="s">
        <v>32</v>
      </c>
      <c r="Q118" t="s">
        <v>9</v>
      </c>
      <c r="R118" s="3" t="s">
        <v>143</v>
      </c>
      <c r="S118" s="5">
        <v>580.9</v>
      </c>
      <c r="T118" s="5">
        <v>0.4</v>
      </c>
      <c r="U118">
        <v>0.53</v>
      </c>
      <c r="V118">
        <v>0.82</v>
      </c>
      <c r="W118">
        <v>1.1000000000000001</v>
      </c>
      <c r="X118" t="s">
        <v>1289</v>
      </c>
      <c r="Z118" t="s">
        <v>136</v>
      </c>
      <c r="AB118" t="s">
        <v>141</v>
      </c>
      <c r="AF118" t="s">
        <v>919</v>
      </c>
      <c r="AG118" t="s">
        <v>138</v>
      </c>
    </row>
    <row r="119" spans="1:35" x14ac:dyDescent="0.35">
      <c r="A119">
        <v>118</v>
      </c>
      <c r="B119">
        <f>_xlfn.XLOOKUP(C119, csl_deposits!B:B, csl_deposits!A:A, "NA", 0,1)</f>
        <v>50</v>
      </c>
      <c r="C119" t="s">
        <v>763</v>
      </c>
      <c r="D119" t="s">
        <v>265</v>
      </c>
      <c r="E119" t="s">
        <v>1184</v>
      </c>
      <c r="F119" t="s">
        <v>1291</v>
      </c>
      <c r="G119" t="s">
        <v>0</v>
      </c>
      <c r="H119" t="s">
        <v>1185</v>
      </c>
      <c r="I119" t="s">
        <v>266</v>
      </c>
      <c r="J119" t="s">
        <v>13</v>
      </c>
      <c r="K119" t="s">
        <v>7</v>
      </c>
      <c r="L119">
        <v>606</v>
      </c>
      <c r="M119">
        <v>3.7</v>
      </c>
      <c r="P119" t="s">
        <v>267</v>
      </c>
      <c r="Q119" t="s">
        <v>9</v>
      </c>
      <c r="S119">
        <v>606</v>
      </c>
      <c r="T119">
        <v>3.7</v>
      </c>
      <c r="X119" t="s">
        <v>1290</v>
      </c>
      <c r="Z119" t="s">
        <v>268</v>
      </c>
      <c r="AE119" t="s">
        <v>269</v>
      </c>
      <c r="AG119" t="s">
        <v>270</v>
      </c>
    </row>
    <row r="120" spans="1:35" x14ac:dyDescent="0.35">
      <c r="A120">
        <v>119</v>
      </c>
      <c r="B120">
        <f>_xlfn.XLOOKUP(C120, csl_deposits!B:B, csl_deposits!A:A, "NA", 0,1)</f>
        <v>51</v>
      </c>
      <c r="C120" t="s">
        <v>764</v>
      </c>
      <c r="D120" t="s">
        <v>271</v>
      </c>
      <c r="E120" t="s">
        <v>1190</v>
      </c>
      <c r="F120" t="s">
        <v>1293</v>
      </c>
      <c r="H120" t="s">
        <v>1185</v>
      </c>
      <c r="I120" t="s">
        <v>79</v>
      </c>
      <c r="J120" t="s">
        <v>0</v>
      </c>
      <c r="K120" t="s">
        <v>7</v>
      </c>
      <c r="L120">
        <v>634</v>
      </c>
      <c r="M120">
        <v>29</v>
      </c>
      <c r="P120" t="s">
        <v>14</v>
      </c>
      <c r="Q120" t="s">
        <v>25</v>
      </c>
      <c r="S120">
        <v>634</v>
      </c>
      <c r="T120">
        <v>29</v>
      </c>
      <c r="X120" t="s">
        <v>1292</v>
      </c>
      <c r="Y120" s="3"/>
      <c r="Z120" t="s">
        <v>272</v>
      </c>
      <c r="AB120" t="s">
        <v>273</v>
      </c>
      <c r="AG120" t="s">
        <v>274</v>
      </c>
    </row>
    <row r="121" spans="1:35" x14ac:dyDescent="0.35">
      <c r="A121">
        <v>120</v>
      </c>
      <c r="B121">
        <f>_xlfn.XLOOKUP(C121, csl_deposits!B:B, csl_deposits!A:A, "NA", 0,1)</f>
        <v>52</v>
      </c>
      <c r="C121" t="s">
        <v>767</v>
      </c>
      <c r="E121" t="s">
        <v>1190</v>
      </c>
      <c r="F121" t="s">
        <v>1243</v>
      </c>
      <c r="G121" t="s">
        <v>1</v>
      </c>
      <c r="H121" t="s">
        <v>1185</v>
      </c>
      <c r="I121" t="s">
        <v>31</v>
      </c>
      <c r="J121" t="s">
        <v>13</v>
      </c>
      <c r="K121" t="s">
        <v>7</v>
      </c>
      <c r="L121">
        <v>571</v>
      </c>
      <c r="M121">
        <v>1</v>
      </c>
      <c r="P121" t="s">
        <v>125</v>
      </c>
      <c r="Q121" t="s">
        <v>9</v>
      </c>
      <c r="S121">
        <v>571</v>
      </c>
      <c r="T121">
        <v>1</v>
      </c>
      <c r="X121" t="s">
        <v>1242</v>
      </c>
      <c r="Y121" t="s">
        <v>116</v>
      </c>
      <c r="AB121" t="s">
        <v>126</v>
      </c>
      <c r="AG121" t="s">
        <v>127</v>
      </c>
      <c r="AH121" t="s">
        <v>128</v>
      </c>
    </row>
    <row r="122" spans="1:35" x14ac:dyDescent="0.35">
      <c r="A122">
        <v>121</v>
      </c>
      <c r="B122">
        <f>_xlfn.XLOOKUP(C122, csl_deposits!B:B, csl_deposits!A:A, "NA", 0,1)</f>
        <v>52</v>
      </c>
      <c r="C122" t="s">
        <v>767</v>
      </c>
      <c r="D122" t="s">
        <v>275</v>
      </c>
      <c r="E122" t="s">
        <v>1188</v>
      </c>
      <c r="F122" t="s">
        <v>1295</v>
      </c>
      <c r="G122" t="s">
        <v>2</v>
      </c>
      <c r="H122" t="s">
        <v>1185</v>
      </c>
      <c r="I122" t="s">
        <v>255</v>
      </c>
      <c r="J122" t="s">
        <v>6</v>
      </c>
      <c r="K122" t="s">
        <v>7</v>
      </c>
      <c r="L122">
        <v>706</v>
      </c>
      <c r="M122">
        <v>1.8</v>
      </c>
      <c r="P122" t="s">
        <v>125</v>
      </c>
      <c r="Q122" t="s">
        <v>9</v>
      </c>
      <c r="S122">
        <v>706</v>
      </c>
      <c r="T122">
        <v>1.8</v>
      </c>
      <c r="X122" t="s">
        <v>1294</v>
      </c>
      <c r="Z122" t="s">
        <v>276</v>
      </c>
      <c r="AB122" t="s">
        <v>277</v>
      </c>
      <c r="AG122" t="s">
        <v>278</v>
      </c>
      <c r="AH122" t="s">
        <v>279</v>
      </c>
    </row>
    <row r="123" spans="1:35" x14ac:dyDescent="0.35">
      <c r="A123">
        <v>122</v>
      </c>
      <c r="B123">
        <f>_xlfn.XLOOKUP(C123, csl_deposits!B:B, csl_deposits!A:A, "NA", 0,1)</f>
        <v>52</v>
      </c>
      <c r="C123" t="s">
        <v>767</v>
      </c>
      <c r="D123" t="s">
        <v>280</v>
      </c>
      <c r="E123" t="s">
        <v>1188</v>
      </c>
      <c r="F123" t="s">
        <v>1295</v>
      </c>
      <c r="G123" t="s">
        <v>2</v>
      </c>
      <c r="H123" t="s">
        <v>1185</v>
      </c>
      <c r="I123" t="s">
        <v>115</v>
      </c>
      <c r="J123" t="s">
        <v>6</v>
      </c>
      <c r="K123" t="s">
        <v>7</v>
      </c>
      <c r="L123">
        <v>705</v>
      </c>
      <c r="M123">
        <v>2</v>
      </c>
      <c r="P123" t="s">
        <v>125</v>
      </c>
      <c r="Q123" t="s">
        <v>9</v>
      </c>
      <c r="S123">
        <v>705</v>
      </c>
      <c r="T123">
        <v>2</v>
      </c>
      <c r="X123" t="s">
        <v>1296</v>
      </c>
      <c r="Z123" t="s">
        <v>276</v>
      </c>
      <c r="AB123" t="s">
        <v>281</v>
      </c>
      <c r="AG123" t="s">
        <v>278</v>
      </c>
      <c r="AH123" t="s">
        <v>279</v>
      </c>
    </row>
    <row r="124" spans="1:35" x14ac:dyDescent="0.35">
      <c r="A124">
        <v>123</v>
      </c>
      <c r="B124">
        <f>_xlfn.XLOOKUP(C124, csl_deposits!B:B, csl_deposits!A:A, "NA", 0,1)</f>
        <v>52</v>
      </c>
      <c r="C124" t="s">
        <v>767</v>
      </c>
      <c r="D124" t="s">
        <v>282</v>
      </c>
      <c r="E124" t="s">
        <v>1188</v>
      </c>
      <c r="F124" t="s">
        <v>1295</v>
      </c>
      <c r="G124" t="s">
        <v>2</v>
      </c>
      <c r="H124" t="s">
        <v>1185</v>
      </c>
      <c r="I124" t="s">
        <v>115</v>
      </c>
      <c r="J124" t="s">
        <v>6</v>
      </c>
      <c r="K124" t="s">
        <v>7</v>
      </c>
      <c r="L124">
        <v>702</v>
      </c>
      <c r="P124" t="s">
        <v>125</v>
      </c>
      <c r="Q124" t="s">
        <v>9</v>
      </c>
      <c r="S124">
        <v>702</v>
      </c>
      <c r="X124" t="s">
        <v>1296</v>
      </c>
      <c r="Z124" t="s">
        <v>276</v>
      </c>
      <c r="AB124" t="s">
        <v>281</v>
      </c>
      <c r="AG124" t="s">
        <v>278</v>
      </c>
      <c r="AH124" t="s">
        <v>279</v>
      </c>
    </row>
    <row r="125" spans="1:35" x14ac:dyDescent="0.35">
      <c r="A125">
        <v>124</v>
      </c>
      <c r="B125">
        <f>_xlfn.XLOOKUP(C125, csl_deposits!B:B, csl_deposits!A:A, "NA", 0,1)</f>
        <v>93</v>
      </c>
      <c r="C125" t="s">
        <v>1528</v>
      </c>
      <c r="D125" t="s">
        <v>411</v>
      </c>
      <c r="E125" t="s">
        <v>1190</v>
      </c>
      <c r="F125" t="s">
        <v>1567</v>
      </c>
      <c r="G125" t="s">
        <v>1</v>
      </c>
      <c r="H125" t="s">
        <v>1185</v>
      </c>
      <c r="I125" t="s">
        <v>88</v>
      </c>
      <c r="J125" t="s">
        <v>13</v>
      </c>
      <c r="K125" t="s">
        <v>7</v>
      </c>
      <c r="L125" s="5">
        <v>579.63</v>
      </c>
      <c r="M125">
        <v>0.68</v>
      </c>
      <c r="P125" t="s">
        <v>32</v>
      </c>
      <c r="Q125" t="s">
        <v>9</v>
      </c>
      <c r="R125" s="3" t="s">
        <v>412</v>
      </c>
      <c r="S125" s="5">
        <v>579.63</v>
      </c>
      <c r="T125" s="5">
        <v>0.15</v>
      </c>
      <c r="U125">
        <v>0.28999999999999998</v>
      </c>
      <c r="V125">
        <v>0.68</v>
      </c>
      <c r="W125">
        <v>1.7999999999999999E-2</v>
      </c>
      <c r="X125" t="s">
        <v>1017</v>
      </c>
      <c r="Y125" s="3"/>
      <c r="Z125" t="s">
        <v>407</v>
      </c>
      <c r="AB125" t="s">
        <v>408</v>
      </c>
      <c r="AG125" t="s">
        <v>138</v>
      </c>
    </row>
    <row r="126" spans="1:35" x14ac:dyDescent="0.35">
      <c r="A126">
        <v>125</v>
      </c>
      <c r="B126">
        <f>_xlfn.XLOOKUP(C126, csl_deposits!B:B, csl_deposits!A:A, "NA", 0,1)</f>
        <v>93</v>
      </c>
      <c r="C126" t="s">
        <v>1528</v>
      </c>
      <c r="D126" t="s">
        <v>1550</v>
      </c>
      <c r="E126" t="s">
        <v>1184</v>
      </c>
      <c r="F126" t="s">
        <v>1555</v>
      </c>
      <c r="G126" t="s">
        <v>0</v>
      </c>
      <c r="H126" t="s">
        <v>1185</v>
      </c>
      <c r="I126" t="s">
        <v>31</v>
      </c>
      <c r="J126" t="s">
        <v>0</v>
      </c>
      <c r="K126" t="s">
        <v>7</v>
      </c>
      <c r="L126" s="5">
        <v>592</v>
      </c>
      <c r="M126">
        <v>2.2000000000000002</v>
      </c>
      <c r="P126" t="s">
        <v>32</v>
      </c>
      <c r="Q126" t="s">
        <v>25</v>
      </c>
      <c r="R126" s="3"/>
      <c r="S126" s="5">
        <v>592</v>
      </c>
      <c r="T126" s="5">
        <v>2.2000000000000002</v>
      </c>
      <c r="W126">
        <v>0.48</v>
      </c>
      <c r="X126" t="s">
        <v>1552</v>
      </c>
      <c r="Y126" s="3"/>
      <c r="Z126" t="s">
        <v>1553</v>
      </c>
      <c r="AB126" t="s">
        <v>1554</v>
      </c>
      <c r="AG126" t="s">
        <v>1547</v>
      </c>
      <c r="AH126" t="s">
        <v>1548</v>
      </c>
      <c r="AI126" t="s">
        <v>1549</v>
      </c>
    </row>
    <row r="127" spans="1:35" x14ac:dyDescent="0.35">
      <c r="A127">
        <v>126</v>
      </c>
      <c r="B127">
        <f>_xlfn.XLOOKUP(C127, csl_deposits!B:B, csl_deposits!A:A, "NA", 0,1)</f>
        <v>93</v>
      </c>
      <c r="C127" t="s">
        <v>1528</v>
      </c>
      <c r="D127" t="s">
        <v>1551</v>
      </c>
      <c r="E127" t="s">
        <v>1184</v>
      </c>
      <c r="F127" t="s">
        <v>1555</v>
      </c>
      <c r="G127" t="s">
        <v>0</v>
      </c>
      <c r="H127" t="s">
        <v>1185</v>
      </c>
      <c r="I127" t="s">
        <v>31</v>
      </c>
      <c r="J127" t="s">
        <v>0</v>
      </c>
      <c r="K127" t="s">
        <v>7</v>
      </c>
      <c r="L127" s="5">
        <v>591.29999999999995</v>
      </c>
      <c r="M127">
        <v>1.6</v>
      </c>
      <c r="P127" t="s">
        <v>32</v>
      </c>
      <c r="Q127" t="s">
        <v>25</v>
      </c>
      <c r="R127" s="3"/>
      <c r="S127" s="5">
        <v>591.29999999999995</v>
      </c>
      <c r="T127" s="5">
        <v>1.6</v>
      </c>
      <c r="W127">
        <v>7.1999999999999995E-2</v>
      </c>
      <c r="X127" t="s">
        <v>1552</v>
      </c>
      <c r="Y127" s="3"/>
      <c r="Z127" t="s">
        <v>1553</v>
      </c>
      <c r="AB127" t="s">
        <v>1554</v>
      </c>
      <c r="AG127" t="s">
        <v>1547</v>
      </c>
      <c r="AH127" t="s">
        <v>1548</v>
      </c>
      <c r="AI127" t="s">
        <v>1549</v>
      </c>
    </row>
    <row r="128" spans="1:35" x14ac:dyDescent="0.35">
      <c r="A128">
        <v>127</v>
      </c>
      <c r="B128">
        <f>_xlfn.XLOOKUP(C128, csl_deposits!B:B, csl_deposits!A:A, "NA", 0,1)</f>
        <v>54</v>
      </c>
      <c r="C128" t="s">
        <v>773</v>
      </c>
      <c r="E128" t="s">
        <v>1190</v>
      </c>
      <c r="F128" t="s">
        <v>1511</v>
      </c>
      <c r="G128" t="s">
        <v>1</v>
      </c>
      <c r="H128" t="s">
        <v>1191</v>
      </c>
      <c r="J128" t="s">
        <v>1</v>
      </c>
      <c r="L128">
        <v>538.79999999999995</v>
      </c>
      <c r="AB128" t="s">
        <v>1512</v>
      </c>
      <c r="AF128" t="s">
        <v>1513</v>
      </c>
      <c r="AG128" t="s">
        <v>288</v>
      </c>
      <c r="AH128" t="s">
        <v>1514</v>
      </c>
    </row>
    <row r="129" spans="1:34" x14ac:dyDescent="0.35">
      <c r="A129">
        <v>128</v>
      </c>
      <c r="B129">
        <f>_xlfn.XLOOKUP(C129, csl_deposits!B:B, csl_deposits!A:A, "NA", 0,1)</f>
        <v>54</v>
      </c>
      <c r="C129" t="s">
        <v>773</v>
      </c>
      <c r="D129" t="s">
        <v>283</v>
      </c>
      <c r="E129" t="s">
        <v>1184</v>
      </c>
      <c r="F129" t="s">
        <v>1062</v>
      </c>
      <c r="G129" t="s">
        <v>0</v>
      </c>
      <c r="H129" t="s">
        <v>1185</v>
      </c>
      <c r="I129" t="s">
        <v>284</v>
      </c>
      <c r="J129" t="s">
        <v>0</v>
      </c>
      <c r="K129" t="s">
        <v>7</v>
      </c>
      <c r="L129">
        <v>620</v>
      </c>
      <c r="M129">
        <v>14</v>
      </c>
      <c r="P129" t="s">
        <v>14</v>
      </c>
      <c r="Q129" t="s">
        <v>25</v>
      </c>
      <c r="S129">
        <v>620</v>
      </c>
      <c r="T129">
        <v>14</v>
      </c>
      <c r="X129" t="s">
        <v>1063</v>
      </c>
      <c r="Z129" t="s">
        <v>285</v>
      </c>
      <c r="AB129" t="s">
        <v>286</v>
      </c>
      <c r="AE129" t="s">
        <v>287</v>
      </c>
      <c r="AG129" t="s">
        <v>288</v>
      </c>
      <c r="AH129" t="s">
        <v>289</v>
      </c>
    </row>
    <row r="130" spans="1:34" x14ac:dyDescent="0.35">
      <c r="A130">
        <v>129</v>
      </c>
      <c r="B130">
        <f>_xlfn.XLOOKUP(C130, csl_deposits!B:B, csl_deposits!A:A, "NA", 0,1)</f>
        <v>55</v>
      </c>
      <c r="C130" t="s">
        <v>781</v>
      </c>
      <c r="E130" t="s">
        <v>1190</v>
      </c>
      <c r="F130" t="s">
        <v>1301</v>
      </c>
      <c r="G130" t="s">
        <v>1</v>
      </c>
      <c r="H130" t="s">
        <v>1191</v>
      </c>
      <c r="I130" t="s">
        <v>79</v>
      </c>
      <c r="J130" t="s">
        <v>1</v>
      </c>
      <c r="L130">
        <v>538.79999999999995</v>
      </c>
      <c r="Z130" t="s">
        <v>993</v>
      </c>
      <c r="AB130" t="s">
        <v>994</v>
      </c>
      <c r="AC130" t="s">
        <v>995</v>
      </c>
      <c r="AG130" t="s">
        <v>1302</v>
      </c>
    </row>
    <row r="131" spans="1:34" x14ac:dyDescent="0.35">
      <c r="A131">
        <v>130</v>
      </c>
      <c r="B131">
        <f>_xlfn.XLOOKUP(C131, csl_deposits!B:B, csl_deposits!A:A, "NA", 0,1)</f>
        <v>55</v>
      </c>
      <c r="C131" t="s">
        <v>781</v>
      </c>
      <c r="E131" t="s">
        <v>1184</v>
      </c>
      <c r="F131" t="s">
        <v>1297</v>
      </c>
      <c r="G131" t="s">
        <v>0</v>
      </c>
      <c r="H131" t="s">
        <v>1022</v>
      </c>
      <c r="I131" t="s">
        <v>46</v>
      </c>
      <c r="J131" t="s">
        <v>0</v>
      </c>
      <c r="K131" t="s">
        <v>1198</v>
      </c>
      <c r="L131">
        <v>570</v>
      </c>
      <c r="M131">
        <v>4</v>
      </c>
      <c r="N131" t="s">
        <v>1007</v>
      </c>
      <c r="O131" t="s">
        <v>1199</v>
      </c>
      <c r="Z131" t="s">
        <v>993</v>
      </c>
      <c r="AB131" t="s">
        <v>1298</v>
      </c>
      <c r="AC131" t="s">
        <v>1299</v>
      </c>
      <c r="AG131" t="s">
        <v>1144</v>
      </c>
    </row>
    <row r="132" spans="1:34" x14ac:dyDescent="0.35">
      <c r="A132">
        <v>131</v>
      </c>
      <c r="B132">
        <f>_xlfn.XLOOKUP(C132, csl_deposits!B:B, csl_deposits!A:A, "NA", 0,1)</f>
        <v>55</v>
      </c>
      <c r="C132" t="s">
        <v>781</v>
      </c>
      <c r="E132" t="s">
        <v>1184</v>
      </c>
      <c r="F132" t="s">
        <v>1300</v>
      </c>
      <c r="G132" t="s">
        <v>0</v>
      </c>
      <c r="H132" t="s">
        <v>1022</v>
      </c>
      <c r="I132" t="s">
        <v>61</v>
      </c>
      <c r="J132" t="s">
        <v>0</v>
      </c>
      <c r="K132" t="s">
        <v>1198</v>
      </c>
      <c r="L132">
        <v>570</v>
      </c>
      <c r="M132">
        <v>4</v>
      </c>
      <c r="N132" t="s">
        <v>1007</v>
      </c>
      <c r="O132" t="s">
        <v>1199</v>
      </c>
      <c r="Z132" t="s">
        <v>993</v>
      </c>
      <c r="AB132" t="s">
        <v>1143</v>
      </c>
      <c r="AG132" t="s">
        <v>1144</v>
      </c>
    </row>
    <row r="133" spans="1:34" x14ac:dyDescent="0.35">
      <c r="A133">
        <v>132</v>
      </c>
      <c r="B133">
        <f>_xlfn.XLOOKUP(C133, csl_deposits!B:B, csl_deposits!A:A, "NA", 0,1)</f>
        <v>58</v>
      </c>
      <c r="C133" t="s">
        <v>792</v>
      </c>
      <c r="D133" t="s">
        <v>290</v>
      </c>
      <c r="E133" t="s">
        <v>1190</v>
      </c>
      <c r="F133" s="3"/>
      <c r="H133" t="s">
        <v>1185</v>
      </c>
      <c r="I133" t="s">
        <v>54</v>
      </c>
      <c r="J133" t="s">
        <v>6</v>
      </c>
      <c r="K133" t="s">
        <v>7</v>
      </c>
      <c r="L133" s="5">
        <v>538</v>
      </c>
      <c r="M133" s="5">
        <v>2</v>
      </c>
      <c r="P133" t="s">
        <v>14</v>
      </c>
      <c r="Q133" t="s">
        <v>9</v>
      </c>
      <c r="R133" s="3"/>
      <c r="S133" s="5">
        <v>538</v>
      </c>
      <c r="T133" s="6"/>
      <c r="U133" s="6"/>
      <c r="V133" s="5">
        <v>2</v>
      </c>
      <c r="W133">
        <v>0.35</v>
      </c>
      <c r="X133" t="s">
        <v>1056</v>
      </c>
      <c r="AB133" t="s">
        <v>291</v>
      </c>
      <c r="AG133" t="s">
        <v>56</v>
      </c>
    </row>
    <row r="134" spans="1:34" x14ac:dyDescent="0.35">
      <c r="A134">
        <v>133</v>
      </c>
      <c r="B134">
        <f>_xlfn.XLOOKUP(C134, csl_deposits!B:B, csl_deposits!A:A, "NA", 0,1)</f>
        <v>58</v>
      </c>
      <c r="C134" t="s">
        <v>792</v>
      </c>
      <c r="D134" t="s">
        <v>292</v>
      </c>
      <c r="E134" t="s">
        <v>1184</v>
      </c>
      <c r="F134" s="3"/>
      <c r="G134" t="s">
        <v>0</v>
      </c>
      <c r="H134" t="s">
        <v>1185</v>
      </c>
      <c r="I134" t="s">
        <v>64</v>
      </c>
      <c r="J134" t="s">
        <v>0</v>
      </c>
      <c r="K134" t="s">
        <v>7</v>
      </c>
      <c r="L134" s="5">
        <v>566</v>
      </c>
      <c r="M134" s="5">
        <v>4</v>
      </c>
      <c r="P134" t="s">
        <v>14</v>
      </c>
      <c r="Q134" t="s">
        <v>25</v>
      </c>
      <c r="R134" s="3"/>
      <c r="S134" s="5">
        <v>566</v>
      </c>
      <c r="T134" s="6"/>
      <c r="U134" s="6"/>
      <c r="V134" s="5">
        <v>4</v>
      </c>
      <c r="W134">
        <v>0.72</v>
      </c>
      <c r="X134" t="s">
        <v>1055</v>
      </c>
      <c r="Z134" t="s">
        <v>293</v>
      </c>
      <c r="AB134" t="s">
        <v>294</v>
      </c>
      <c r="AD134" t="s">
        <v>295</v>
      </c>
      <c r="AG134" t="s">
        <v>56</v>
      </c>
    </row>
    <row r="135" spans="1:34" x14ac:dyDescent="0.35">
      <c r="A135">
        <v>134</v>
      </c>
      <c r="B135">
        <f>_xlfn.XLOOKUP(C135, csl_deposits!B:B, csl_deposits!A:A, "NA", 0,1)</f>
        <v>58</v>
      </c>
      <c r="C135" t="s">
        <v>792</v>
      </c>
      <c r="D135" t="s">
        <v>296</v>
      </c>
      <c r="E135" t="s">
        <v>1184</v>
      </c>
      <c r="F135" s="3"/>
      <c r="G135" t="s">
        <v>0</v>
      </c>
      <c r="H135" t="s">
        <v>1185</v>
      </c>
      <c r="I135" t="s">
        <v>64</v>
      </c>
      <c r="J135" t="s">
        <v>0</v>
      </c>
      <c r="K135" t="s">
        <v>7</v>
      </c>
      <c r="L135" s="5">
        <v>572</v>
      </c>
      <c r="M135" s="5">
        <v>2</v>
      </c>
      <c r="P135" t="s">
        <v>14</v>
      </c>
      <c r="Q135" t="s">
        <v>25</v>
      </c>
      <c r="R135" s="3"/>
      <c r="S135" s="5">
        <v>572</v>
      </c>
      <c r="T135" s="6"/>
      <c r="U135" s="6"/>
      <c r="V135" s="5">
        <v>2</v>
      </c>
      <c r="W135">
        <v>1.7</v>
      </c>
      <c r="X135" t="s">
        <v>1055</v>
      </c>
      <c r="Z135" t="s">
        <v>293</v>
      </c>
      <c r="AB135" t="s">
        <v>294</v>
      </c>
      <c r="AD135" t="s">
        <v>295</v>
      </c>
      <c r="AG135" t="s">
        <v>56</v>
      </c>
    </row>
    <row r="136" spans="1:34" x14ac:dyDescent="0.35">
      <c r="A136">
        <v>135</v>
      </c>
      <c r="B136">
        <f>_xlfn.XLOOKUP(C136, csl_deposits!B:B, csl_deposits!A:A, "NA", 0,1)</f>
        <v>58</v>
      </c>
      <c r="C136" t="s">
        <v>792</v>
      </c>
      <c r="D136" t="s">
        <v>297</v>
      </c>
      <c r="E136" t="s">
        <v>1184</v>
      </c>
      <c r="F136" s="3"/>
      <c r="G136" t="s">
        <v>0</v>
      </c>
      <c r="H136" t="s">
        <v>1185</v>
      </c>
      <c r="I136" t="s">
        <v>64</v>
      </c>
      <c r="J136" t="s">
        <v>0</v>
      </c>
      <c r="K136" t="s">
        <v>7</v>
      </c>
      <c r="L136" s="5">
        <v>576</v>
      </c>
      <c r="M136" s="5">
        <v>7</v>
      </c>
      <c r="P136" t="s">
        <v>14</v>
      </c>
      <c r="Q136" t="s">
        <v>25</v>
      </c>
      <c r="R136" s="3"/>
      <c r="S136" s="5">
        <v>576</v>
      </c>
      <c r="T136" s="6"/>
      <c r="U136" s="6"/>
      <c r="V136" s="5">
        <v>7</v>
      </c>
      <c r="W136">
        <v>0.17</v>
      </c>
      <c r="X136" t="s">
        <v>1055</v>
      </c>
      <c r="Z136" t="s">
        <v>293</v>
      </c>
      <c r="AB136" t="s">
        <v>294</v>
      </c>
      <c r="AD136" t="s">
        <v>295</v>
      </c>
      <c r="AG136" t="s">
        <v>56</v>
      </c>
    </row>
    <row r="137" spans="1:34" x14ac:dyDescent="0.35">
      <c r="A137">
        <v>136</v>
      </c>
      <c r="B137">
        <f>_xlfn.XLOOKUP(C137, csl_deposits!B:B, csl_deposits!A:A, "NA", 0,1)</f>
        <v>60</v>
      </c>
      <c r="C137" t="s">
        <v>802</v>
      </c>
      <c r="E137" t="s">
        <v>1190</v>
      </c>
      <c r="F137" s="3"/>
      <c r="G137" t="s">
        <v>1</v>
      </c>
      <c r="H137" t="s">
        <v>1185</v>
      </c>
      <c r="I137" t="s">
        <v>28</v>
      </c>
      <c r="J137" t="s">
        <v>2</v>
      </c>
      <c r="K137" t="s">
        <v>298</v>
      </c>
      <c r="L137">
        <v>555</v>
      </c>
      <c r="M137">
        <v>28</v>
      </c>
      <c r="Q137" t="s">
        <v>28</v>
      </c>
      <c r="S137">
        <v>555</v>
      </c>
      <c r="T137">
        <v>28</v>
      </c>
      <c r="X137" t="s">
        <v>1303</v>
      </c>
      <c r="Y137" s="3"/>
      <c r="Z137" t="s">
        <v>299</v>
      </c>
      <c r="AB137" t="s">
        <v>304</v>
      </c>
      <c r="AC137" t="s">
        <v>305</v>
      </c>
      <c r="AG137" t="s">
        <v>303</v>
      </c>
    </row>
    <row r="138" spans="1:34" x14ac:dyDescent="0.35">
      <c r="A138">
        <v>137</v>
      </c>
      <c r="B138">
        <f>_xlfn.XLOOKUP(C138, csl_deposits!B:B, csl_deposits!A:A, "NA", 0,1)</f>
        <v>60</v>
      </c>
      <c r="C138" t="s">
        <v>802</v>
      </c>
      <c r="E138" t="s">
        <v>1184</v>
      </c>
      <c r="F138" s="3"/>
      <c r="G138" t="s">
        <v>0</v>
      </c>
      <c r="H138" t="s">
        <v>1185</v>
      </c>
      <c r="I138" t="s">
        <v>28</v>
      </c>
      <c r="J138" t="s">
        <v>2</v>
      </c>
      <c r="K138" t="s">
        <v>298</v>
      </c>
      <c r="L138">
        <v>728</v>
      </c>
      <c r="M138">
        <v>32</v>
      </c>
      <c r="Q138" t="s">
        <v>28</v>
      </c>
      <c r="S138">
        <v>728</v>
      </c>
      <c r="T138">
        <v>32</v>
      </c>
      <c r="X138" t="s">
        <v>1303</v>
      </c>
      <c r="Y138" s="3"/>
      <c r="Z138" t="s">
        <v>299</v>
      </c>
      <c r="AA138" t="s">
        <v>300</v>
      </c>
      <c r="AB138" t="s">
        <v>301</v>
      </c>
      <c r="AC138" t="s">
        <v>302</v>
      </c>
      <c r="AG138" t="s">
        <v>303</v>
      </c>
    </row>
    <row r="139" spans="1:34" x14ac:dyDescent="0.35">
      <c r="A139">
        <v>138</v>
      </c>
      <c r="B139">
        <f>_xlfn.XLOOKUP(C139, csl_deposits!B:B, csl_deposits!A:A, "NA", 0,1)</f>
        <v>62</v>
      </c>
      <c r="C139" t="s">
        <v>809</v>
      </c>
      <c r="E139" t="s">
        <v>1190</v>
      </c>
      <c r="F139" t="s">
        <v>1304</v>
      </c>
      <c r="G139" t="s">
        <v>1</v>
      </c>
      <c r="H139" t="s">
        <v>1191</v>
      </c>
      <c r="I139" t="s">
        <v>28</v>
      </c>
      <c r="J139" t="s">
        <v>1</v>
      </c>
      <c r="L139" s="5">
        <v>538.79999999999995</v>
      </c>
      <c r="M139" s="5"/>
      <c r="Z139" t="s">
        <v>991</v>
      </c>
      <c r="AB139" t="s">
        <v>992</v>
      </c>
      <c r="AG139" t="s">
        <v>310</v>
      </c>
      <c r="AH139" t="s">
        <v>1305</v>
      </c>
    </row>
    <row r="140" spans="1:34" x14ac:dyDescent="0.35">
      <c r="A140">
        <v>139</v>
      </c>
      <c r="B140">
        <f>_xlfn.XLOOKUP(C140, csl_deposits!B:B, csl_deposits!A:A, "NA", 0,1)</f>
        <v>62</v>
      </c>
      <c r="C140" t="s">
        <v>809</v>
      </c>
      <c r="D140" t="s">
        <v>311</v>
      </c>
      <c r="E140" t="s">
        <v>1190</v>
      </c>
      <c r="F140" t="s">
        <v>1307</v>
      </c>
      <c r="H140" t="s">
        <v>1185</v>
      </c>
      <c r="I140" t="s">
        <v>79</v>
      </c>
      <c r="J140" t="s">
        <v>0</v>
      </c>
      <c r="K140" t="s">
        <v>7</v>
      </c>
      <c r="L140" s="5">
        <v>555</v>
      </c>
      <c r="M140" s="5">
        <v>4</v>
      </c>
      <c r="P140" t="s">
        <v>71</v>
      </c>
      <c r="Q140" t="s">
        <v>25</v>
      </c>
      <c r="S140">
        <v>555</v>
      </c>
      <c r="T140">
        <v>4</v>
      </c>
      <c r="X140" t="s">
        <v>1306</v>
      </c>
      <c r="Z140" t="s">
        <v>307</v>
      </c>
      <c r="AA140" t="s">
        <v>312</v>
      </c>
      <c r="AG140" t="s">
        <v>313</v>
      </c>
      <c r="AH140" t="s">
        <v>310</v>
      </c>
    </row>
    <row r="141" spans="1:34" x14ac:dyDescent="0.35">
      <c r="A141">
        <v>140</v>
      </c>
      <c r="B141">
        <f>_xlfn.XLOOKUP(C141, csl_deposits!B:B, csl_deposits!A:A, "NA", 0,1)</f>
        <v>62</v>
      </c>
      <c r="C141" t="s">
        <v>809</v>
      </c>
      <c r="D141" t="s">
        <v>306</v>
      </c>
      <c r="E141" t="s">
        <v>1184</v>
      </c>
      <c r="F141" s="3"/>
      <c r="G141" t="s">
        <v>0</v>
      </c>
      <c r="H141" t="s">
        <v>1185</v>
      </c>
      <c r="I141" t="s">
        <v>61</v>
      </c>
      <c r="J141" t="s">
        <v>0</v>
      </c>
      <c r="K141" t="s">
        <v>7</v>
      </c>
      <c r="L141" s="5">
        <v>565</v>
      </c>
      <c r="M141" s="5">
        <v>4</v>
      </c>
      <c r="P141" t="s">
        <v>14</v>
      </c>
      <c r="Q141" t="s">
        <v>25</v>
      </c>
      <c r="R141" s="3"/>
      <c r="S141" s="5">
        <v>565</v>
      </c>
      <c r="T141" s="6"/>
      <c r="U141" s="6"/>
      <c r="V141" s="5">
        <v>4</v>
      </c>
      <c r="X141" t="s">
        <v>1054</v>
      </c>
      <c r="Z141" t="s">
        <v>307</v>
      </c>
      <c r="AB141" t="s">
        <v>308</v>
      </c>
      <c r="AE141" t="s">
        <v>309</v>
      </c>
      <c r="AG141" t="s">
        <v>56</v>
      </c>
    </row>
    <row r="142" spans="1:34" x14ac:dyDescent="0.35">
      <c r="A142">
        <v>141</v>
      </c>
      <c r="B142">
        <f>_xlfn.XLOOKUP(C142, csl_deposits!B:B, csl_deposits!A:A, "NA", 0,1)</f>
        <v>63</v>
      </c>
      <c r="C142" t="s">
        <v>813</v>
      </c>
      <c r="D142" t="s">
        <v>314</v>
      </c>
      <c r="E142" t="s">
        <v>1190</v>
      </c>
      <c r="F142" t="s">
        <v>1309</v>
      </c>
      <c r="G142" t="s">
        <v>1</v>
      </c>
      <c r="H142" t="s">
        <v>1185</v>
      </c>
      <c r="I142" t="s">
        <v>316</v>
      </c>
      <c r="J142" t="s">
        <v>13</v>
      </c>
      <c r="K142" t="s">
        <v>7</v>
      </c>
      <c r="L142">
        <v>541</v>
      </c>
      <c r="M142">
        <v>6</v>
      </c>
      <c r="P142" t="s">
        <v>71</v>
      </c>
      <c r="Q142" t="s">
        <v>9</v>
      </c>
      <c r="S142">
        <v>541</v>
      </c>
      <c r="T142">
        <v>6</v>
      </c>
      <c r="W142">
        <v>0.39</v>
      </c>
      <c r="X142" t="s">
        <v>1308</v>
      </c>
      <c r="Z142" t="s">
        <v>317</v>
      </c>
      <c r="AB142" t="s">
        <v>318</v>
      </c>
      <c r="AG142" t="s">
        <v>319</v>
      </c>
    </row>
    <row r="143" spans="1:34" x14ac:dyDescent="0.35">
      <c r="A143">
        <v>142</v>
      </c>
      <c r="B143">
        <f>_xlfn.XLOOKUP(C143, csl_deposits!B:B, csl_deposits!A:A, "NA", 0,1)</f>
        <v>63</v>
      </c>
      <c r="C143" t="s">
        <v>813</v>
      </c>
      <c r="D143" t="s">
        <v>321</v>
      </c>
      <c r="E143" t="s">
        <v>1184</v>
      </c>
      <c r="F143" t="s">
        <v>1310</v>
      </c>
      <c r="G143" t="s">
        <v>0</v>
      </c>
      <c r="H143" t="s">
        <v>1185</v>
      </c>
      <c r="I143" t="s">
        <v>266</v>
      </c>
      <c r="J143" t="s">
        <v>13</v>
      </c>
      <c r="K143" t="s">
        <v>7</v>
      </c>
      <c r="L143">
        <v>567</v>
      </c>
      <c r="M143">
        <v>5</v>
      </c>
      <c r="P143" t="s">
        <v>71</v>
      </c>
      <c r="Q143" t="s">
        <v>9</v>
      </c>
      <c r="S143">
        <v>567</v>
      </c>
      <c r="T143">
        <v>5</v>
      </c>
      <c r="W143">
        <v>1.5</v>
      </c>
      <c r="X143" t="s">
        <v>1065</v>
      </c>
      <c r="Z143" t="s">
        <v>224</v>
      </c>
      <c r="AG143" t="s">
        <v>319</v>
      </c>
      <c r="AH143" t="s">
        <v>225</v>
      </c>
    </row>
    <row r="144" spans="1:34" x14ac:dyDescent="0.35">
      <c r="A144">
        <v>143</v>
      </c>
      <c r="B144">
        <f>_xlfn.XLOOKUP(C144, csl_deposits!B:B, csl_deposits!A:A, "NA", 0,1)</f>
        <v>63</v>
      </c>
      <c r="C144" t="s">
        <v>813</v>
      </c>
      <c r="D144" t="s">
        <v>322</v>
      </c>
      <c r="E144" t="s">
        <v>1184</v>
      </c>
      <c r="F144" t="s">
        <v>1312</v>
      </c>
      <c r="G144" t="s">
        <v>0</v>
      </c>
      <c r="H144" t="s">
        <v>1185</v>
      </c>
      <c r="I144" t="s">
        <v>223</v>
      </c>
      <c r="J144" t="s">
        <v>13</v>
      </c>
      <c r="K144" t="s">
        <v>7</v>
      </c>
      <c r="L144">
        <v>567</v>
      </c>
      <c r="M144">
        <v>4</v>
      </c>
      <c r="P144" t="s">
        <v>14</v>
      </c>
      <c r="Q144" t="s">
        <v>9</v>
      </c>
      <c r="S144">
        <v>567</v>
      </c>
      <c r="T144">
        <v>4</v>
      </c>
      <c r="W144">
        <v>0.23</v>
      </c>
      <c r="X144" t="s">
        <v>1311</v>
      </c>
      <c r="Z144" t="s">
        <v>224</v>
      </c>
      <c r="AG144" t="s">
        <v>323</v>
      </c>
    </row>
    <row r="145" spans="1:36" x14ac:dyDescent="0.35">
      <c r="A145">
        <v>144</v>
      </c>
      <c r="B145">
        <f>_xlfn.XLOOKUP(C145, csl_deposits!B:B, csl_deposits!A:A, "NA", 0,1)</f>
        <v>63</v>
      </c>
      <c r="C145" t="s">
        <v>813</v>
      </c>
      <c r="D145" t="s">
        <v>324</v>
      </c>
      <c r="E145" t="s">
        <v>1184</v>
      </c>
      <c r="F145" t="s">
        <v>1314</v>
      </c>
      <c r="H145" t="s">
        <v>1185</v>
      </c>
      <c r="I145" t="s">
        <v>325</v>
      </c>
      <c r="J145" t="s">
        <v>0</v>
      </c>
      <c r="K145" t="s">
        <v>7</v>
      </c>
      <c r="L145">
        <v>569</v>
      </c>
      <c r="M145">
        <v>4</v>
      </c>
      <c r="P145" t="s">
        <v>14</v>
      </c>
      <c r="Q145" t="s">
        <v>25</v>
      </c>
      <c r="S145">
        <v>569</v>
      </c>
      <c r="T145">
        <v>4</v>
      </c>
      <c r="W145">
        <v>0.75</v>
      </c>
      <c r="X145" t="s">
        <v>1313</v>
      </c>
      <c r="Z145" t="s">
        <v>326</v>
      </c>
      <c r="AG145" t="s">
        <v>323</v>
      </c>
    </row>
    <row r="146" spans="1:36" x14ac:dyDescent="0.35">
      <c r="A146">
        <v>145</v>
      </c>
      <c r="B146">
        <f>_xlfn.XLOOKUP(C146, csl_deposits!B:B, csl_deposits!A:A, "NA", 0,1)</f>
        <v>63</v>
      </c>
      <c r="C146" t="s">
        <v>813</v>
      </c>
      <c r="D146" t="s">
        <v>320</v>
      </c>
      <c r="E146" t="s">
        <v>1188</v>
      </c>
      <c r="F146" s="3"/>
      <c r="G146" t="s">
        <v>0</v>
      </c>
      <c r="H146" t="s">
        <v>1185</v>
      </c>
      <c r="I146" t="s">
        <v>266</v>
      </c>
      <c r="J146" t="s">
        <v>13</v>
      </c>
      <c r="K146" t="s">
        <v>7</v>
      </c>
      <c r="L146">
        <v>566</v>
      </c>
      <c r="M146">
        <v>4</v>
      </c>
      <c r="P146" t="s">
        <v>71</v>
      </c>
      <c r="Q146" t="s">
        <v>9</v>
      </c>
      <c r="S146">
        <v>566</v>
      </c>
      <c r="T146">
        <v>4</v>
      </c>
      <c r="W146">
        <v>1.1299999999999999</v>
      </c>
      <c r="X146" t="s">
        <v>1069</v>
      </c>
      <c r="Z146" t="s">
        <v>224</v>
      </c>
      <c r="AG146" t="s">
        <v>319</v>
      </c>
    </row>
    <row r="147" spans="1:36" x14ac:dyDescent="0.35">
      <c r="A147">
        <v>146</v>
      </c>
      <c r="B147">
        <f>_xlfn.XLOOKUP(C147, csl_deposits!B:B, csl_deposits!A:A, "NA", 0,1)</f>
        <v>64</v>
      </c>
      <c r="C147" t="s">
        <v>817</v>
      </c>
      <c r="D147" t="s">
        <v>327</v>
      </c>
      <c r="E147" t="s">
        <v>1190</v>
      </c>
      <c r="H147" t="s">
        <v>1185</v>
      </c>
      <c r="I147" t="s">
        <v>328</v>
      </c>
      <c r="J147" t="s">
        <v>6</v>
      </c>
      <c r="K147" t="s">
        <v>7</v>
      </c>
      <c r="L147">
        <v>574.5</v>
      </c>
      <c r="M147">
        <v>8.1</v>
      </c>
      <c r="P147" t="s">
        <v>71</v>
      </c>
      <c r="Q147" t="s">
        <v>9</v>
      </c>
      <c r="S147">
        <v>574.5</v>
      </c>
      <c r="T147">
        <v>8.1</v>
      </c>
      <c r="W147">
        <v>4.0999999999999996</v>
      </c>
      <c r="X147" t="s">
        <v>1315</v>
      </c>
      <c r="Y147" s="3"/>
      <c r="Z147" t="s">
        <v>329</v>
      </c>
      <c r="AG147" t="s">
        <v>330</v>
      </c>
    </row>
    <row r="148" spans="1:36" x14ac:dyDescent="0.35">
      <c r="A148">
        <v>147</v>
      </c>
      <c r="B148">
        <f>_xlfn.XLOOKUP(C148, csl_deposits!B:B, csl_deposits!A:A, "NA", 0,1)</f>
        <v>64</v>
      </c>
      <c r="C148" t="s">
        <v>817</v>
      </c>
      <c r="D148" t="s">
        <v>331</v>
      </c>
      <c r="E148" t="s">
        <v>1190</v>
      </c>
      <c r="H148" t="s">
        <v>1185</v>
      </c>
      <c r="I148" t="s">
        <v>332</v>
      </c>
      <c r="J148" t="s">
        <v>13</v>
      </c>
      <c r="K148" t="s">
        <v>7</v>
      </c>
      <c r="L148">
        <v>581.79999999999995</v>
      </c>
      <c r="M148">
        <v>3.4</v>
      </c>
      <c r="P148" t="s">
        <v>71</v>
      </c>
      <c r="Q148" t="s">
        <v>9</v>
      </c>
      <c r="S148">
        <v>581.79999999999995</v>
      </c>
      <c r="T148">
        <v>3.4</v>
      </c>
      <c r="W148">
        <v>3.9</v>
      </c>
      <c r="X148" t="s">
        <v>1316</v>
      </c>
      <c r="Y148" s="3"/>
      <c r="Z148" t="s">
        <v>329</v>
      </c>
      <c r="AB148" t="s">
        <v>333</v>
      </c>
      <c r="AG148" t="s">
        <v>330</v>
      </c>
    </row>
    <row r="149" spans="1:36" x14ac:dyDescent="0.35">
      <c r="A149">
        <v>148</v>
      </c>
      <c r="B149">
        <f>_xlfn.XLOOKUP(C149, csl_deposits!B:B, csl_deposits!A:A, "NA", 0,1)</f>
        <v>64</v>
      </c>
      <c r="C149" t="s">
        <v>817</v>
      </c>
      <c r="D149" t="s">
        <v>334</v>
      </c>
      <c r="E149" t="s">
        <v>1190</v>
      </c>
      <c r="H149" t="s">
        <v>1185</v>
      </c>
      <c r="I149" t="s">
        <v>335</v>
      </c>
      <c r="J149" t="s">
        <v>6</v>
      </c>
      <c r="K149" t="s">
        <v>7</v>
      </c>
      <c r="L149">
        <v>587.4</v>
      </c>
      <c r="M149">
        <v>7.3</v>
      </c>
      <c r="P149" t="s">
        <v>71</v>
      </c>
      <c r="Q149" t="s">
        <v>9</v>
      </c>
      <c r="S149">
        <v>587.4</v>
      </c>
      <c r="T149">
        <v>7.3</v>
      </c>
      <c r="W149">
        <v>0.9</v>
      </c>
      <c r="X149" t="s">
        <v>1317</v>
      </c>
      <c r="Y149" s="3"/>
      <c r="Z149" t="s">
        <v>329</v>
      </c>
      <c r="AG149" t="s">
        <v>330</v>
      </c>
    </row>
    <row r="150" spans="1:36" x14ac:dyDescent="0.35">
      <c r="A150">
        <v>149</v>
      </c>
      <c r="B150">
        <f>_xlfn.XLOOKUP(C150, csl_deposits!B:B, csl_deposits!A:A, "NA", 0,1)</f>
        <v>64</v>
      </c>
      <c r="C150" t="s">
        <v>817</v>
      </c>
      <c r="E150" t="s">
        <v>1184</v>
      </c>
      <c r="G150" t="s">
        <v>0</v>
      </c>
      <c r="H150" t="s">
        <v>1185</v>
      </c>
      <c r="I150" t="s">
        <v>79</v>
      </c>
      <c r="J150" t="s">
        <v>0</v>
      </c>
      <c r="K150" t="s">
        <v>7</v>
      </c>
      <c r="L150">
        <v>594</v>
      </c>
      <c r="M150">
        <v>16</v>
      </c>
      <c r="P150" t="s">
        <v>71</v>
      </c>
      <c r="Q150" t="s">
        <v>25</v>
      </c>
      <c r="S150">
        <v>594</v>
      </c>
      <c r="T150">
        <v>16</v>
      </c>
      <c r="X150" t="s">
        <v>1318</v>
      </c>
      <c r="Y150" t="s">
        <v>336</v>
      </c>
      <c r="AB150" t="s">
        <v>337</v>
      </c>
      <c r="AG150" t="s">
        <v>330</v>
      </c>
    </row>
    <row r="151" spans="1:36" x14ac:dyDescent="0.35">
      <c r="A151">
        <v>150</v>
      </c>
      <c r="B151">
        <f>_xlfn.XLOOKUP(C151, csl_deposits!B:B, csl_deposits!A:A, "NA", 0,1)</f>
        <v>64</v>
      </c>
      <c r="C151" t="s">
        <v>817</v>
      </c>
      <c r="D151" t="s">
        <v>1506</v>
      </c>
      <c r="E151" t="s">
        <v>1190</v>
      </c>
      <c r="G151" t="s">
        <v>1</v>
      </c>
      <c r="H151" t="s">
        <v>1185</v>
      </c>
      <c r="I151" t="s">
        <v>1516</v>
      </c>
      <c r="J151" t="s">
        <v>1</v>
      </c>
      <c r="K151" t="s">
        <v>7</v>
      </c>
      <c r="L151">
        <v>578</v>
      </c>
      <c r="M151">
        <v>4.3</v>
      </c>
      <c r="P151" t="s">
        <v>71</v>
      </c>
      <c r="Q151" t="s">
        <v>9</v>
      </c>
      <c r="S151">
        <v>578</v>
      </c>
      <c r="T151">
        <v>4.3</v>
      </c>
      <c r="W151">
        <v>2.4</v>
      </c>
      <c r="X151" t="s">
        <v>1517</v>
      </c>
      <c r="Y151" s="3"/>
      <c r="Z151" t="s">
        <v>329</v>
      </c>
      <c r="AB151" t="s">
        <v>333</v>
      </c>
      <c r="AG151" t="s">
        <v>330</v>
      </c>
    </row>
    <row r="152" spans="1:36" x14ac:dyDescent="0.35">
      <c r="A152">
        <v>151</v>
      </c>
      <c r="B152">
        <f>_xlfn.XLOOKUP(C152, csl_deposits!B:B, csl_deposits!A:A, "NA", 0,1)</f>
        <v>65</v>
      </c>
      <c r="C152" t="s">
        <v>821</v>
      </c>
      <c r="E152" t="s">
        <v>1190</v>
      </c>
      <c r="G152" t="s">
        <v>1</v>
      </c>
      <c r="H152" t="s">
        <v>1185</v>
      </c>
      <c r="I152" t="s">
        <v>332</v>
      </c>
      <c r="J152" t="s">
        <v>13</v>
      </c>
      <c r="K152" t="s">
        <v>158</v>
      </c>
      <c r="L152">
        <v>538</v>
      </c>
      <c r="M152">
        <v>30</v>
      </c>
      <c r="Q152" t="s">
        <v>159</v>
      </c>
      <c r="S152">
        <v>538</v>
      </c>
      <c r="T152">
        <v>30</v>
      </c>
      <c r="X152" t="s">
        <v>1447</v>
      </c>
      <c r="Z152" t="s">
        <v>338</v>
      </c>
      <c r="AD152" t="s">
        <v>1445</v>
      </c>
      <c r="AF152" t="s">
        <v>1444</v>
      </c>
      <c r="AG152" t="s">
        <v>1440</v>
      </c>
      <c r="AH152" t="s">
        <v>1442</v>
      </c>
      <c r="AI152" t="s">
        <v>1437</v>
      </c>
      <c r="AJ152" t="s">
        <v>22</v>
      </c>
    </row>
    <row r="153" spans="1:36" x14ac:dyDescent="0.35">
      <c r="A153">
        <v>152</v>
      </c>
      <c r="B153">
        <f>_xlfn.XLOOKUP(C153, csl_deposits!B:B, csl_deposits!A:A, "NA", 0,1)</f>
        <v>65</v>
      </c>
      <c r="C153" t="s">
        <v>821</v>
      </c>
      <c r="E153" t="s">
        <v>1184</v>
      </c>
      <c r="G153" t="s">
        <v>0</v>
      </c>
      <c r="H153" t="s">
        <v>1185</v>
      </c>
      <c r="I153" t="s">
        <v>115</v>
      </c>
      <c r="J153" t="s">
        <v>0</v>
      </c>
      <c r="K153" t="s">
        <v>158</v>
      </c>
      <c r="L153">
        <v>560</v>
      </c>
      <c r="M153">
        <v>10</v>
      </c>
      <c r="Q153" t="s">
        <v>159</v>
      </c>
      <c r="S153">
        <v>560</v>
      </c>
      <c r="T153">
        <v>10</v>
      </c>
      <c r="X153" t="s">
        <v>1446</v>
      </c>
      <c r="AG153" t="s">
        <v>1451</v>
      </c>
      <c r="AH153" t="s">
        <v>1448</v>
      </c>
      <c r="AI153" t="s">
        <v>1437</v>
      </c>
      <c r="AJ153" t="s">
        <v>22</v>
      </c>
    </row>
    <row r="154" spans="1:36" x14ac:dyDescent="0.35">
      <c r="A154">
        <v>153</v>
      </c>
      <c r="B154">
        <f>_xlfn.XLOOKUP(C154, csl_deposits!B:B, csl_deposits!A:A, "NA", 0,1)</f>
        <v>66</v>
      </c>
      <c r="C154" t="s">
        <v>826</v>
      </c>
      <c r="E154" t="s">
        <v>1190</v>
      </c>
      <c r="F154" t="s">
        <v>1319</v>
      </c>
      <c r="G154" t="s">
        <v>1</v>
      </c>
      <c r="H154" t="s">
        <v>1191</v>
      </c>
      <c r="J154" t="s">
        <v>1</v>
      </c>
      <c r="L154">
        <v>538.79999999999995</v>
      </c>
      <c r="AB154" t="s">
        <v>1193</v>
      </c>
      <c r="AG154" t="s">
        <v>22</v>
      </c>
    </row>
    <row r="155" spans="1:36" x14ac:dyDescent="0.35">
      <c r="A155">
        <v>154</v>
      </c>
      <c r="B155">
        <f>_xlfn.XLOOKUP(C155, csl_deposits!B:B, csl_deposits!A:A, "NA", 0,1)</f>
        <v>66</v>
      </c>
      <c r="C155" t="s">
        <v>826</v>
      </c>
      <c r="D155" t="s">
        <v>23</v>
      </c>
      <c r="E155" t="s">
        <v>1184</v>
      </c>
      <c r="F155" t="s">
        <v>1320</v>
      </c>
      <c r="H155" t="s">
        <v>1185</v>
      </c>
      <c r="I155" t="s">
        <v>24</v>
      </c>
      <c r="J155" t="s">
        <v>0</v>
      </c>
      <c r="K155" t="s">
        <v>7</v>
      </c>
      <c r="L155">
        <v>629</v>
      </c>
      <c r="M155">
        <v>8</v>
      </c>
      <c r="P155" t="s">
        <v>14</v>
      </c>
      <c r="Q155" t="s">
        <v>25</v>
      </c>
      <c r="S155">
        <v>629</v>
      </c>
      <c r="T155">
        <v>8</v>
      </c>
      <c r="X155" t="s">
        <v>1194</v>
      </c>
      <c r="AB155" t="s">
        <v>26</v>
      </c>
      <c r="AG155" t="s">
        <v>27</v>
      </c>
    </row>
    <row r="156" spans="1:36" x14ac:dyDescent="0.35">
      <c r="A156">
        <v>155</v>
      </c>
      <c r="B156">
        <f>_xlfn.XLOOKUP(C156, csl_deposits!B:B, csl_deposits!A:A, "NA", 0,1)</f>
        <v>67</v>
      </c>
      <c r="C156" t="s">
        <v>831</v>
      </c>
      <c r="E156" t="s">
        <v>1190</v>
      </c>
      <c r="F156" t="s">
        <v>1321</v>
      </c>
      <c r="G156" t="s">
        <v>1</v>
      </c>
      <c r="H156" t="s">
        <v>1208</v>
      </c>
      <c r="J156" t="s">
        <v>1</v>
      </c>
      <c r="L156">
        <v>702</v>
      </c>
      <c r="Z156" t="s">
        <v>832</v>
      </c>
      <c r="AB156" t="s">
        <v>767</v>
      </c>
      <c r="AG156" t="s">
        <v>1114</v>
      </c>
      <c r="AH156" t="s">
        <v>279</v>
      </c>
    </row>
    <row r="157" spans="1:36" x14ac:dyDescent="0.35">
      <c r="A157">
        <v>156</v>
      </c>
      <c r="B157">
        <f>_xlfn.XLOOKUP(C157, csl_deposits!B:B, csl_deposits!A:A, "NA", 0,1)</f>
        <v>67</v>
      </c>
      <c r="C157" t="s">
        <v>831</v>
      </c>
      <c r="E157" t="s">
        <v>1190</v>
      </c>
      <c r="F157" t="s">
        <v>1243</v>
      </c>
      <c r="G157" t="s">
        <v>1</v>
      </c>
      <c r="H157" t="s">
        <v>1185</v>
      </c>
      <c r="I157" t="s">
        <v>31</v>
      </c>
      <c r="J157" t="s">
        <v>13</v>
      </c>
      <c r="K157" t="s">
        <v>7</v>
      </c>
      <c r="L157">
        <v>571</v>
      </c>
      <c r="M157">
        <v>1</v>
      </c>
      <c r="P157" t="s">
        <v>125</v>
      </c>
      <c r="Q157" t="s">
        <v>9</v>
      </c>
      <c r="S157">
        <v>571</v>
      </c>
      <c r="T157">
        <v>1</v>
      </c>
      <c r="X157" t="s">
        <v>1242</v>
      </c>
      <c r="Y157" t="s">
        <v>116</v>
      </c>
      <c r="AB157" t="s">
        <v>126</v>
      </c>
      <c r="AG157" t="s">
        <v>127</v>
      </c>
      <c r="AH157" t="s">
        <v>128</v>
      </c>
    </row>
    <row r="158" spans="1:36" x14ac:dyDescent="0.35">
      <c r="A158">
        <v>157</v>
      </c>
      <c r="B158">
        <f>_xlfn.XLOOKUP(C158, csl_deposits!B:B, csl_deposits!A:A, "NA", 0,1)</f>
        <v>68</v>
      </c>
      <c r="C158" t="s">
        <v>835</v>
      </c>
      <c r="E158" t="s">
        <v>1190</v>
      </c>
      <c r="F158" t="s">
        <v>1036</v>
      </c>
      <c r="G158" t="s">
        <v>1</v>
      </c>
      <c r="H158" t="s">
        <v>1185</v>
      </c>
      <c r="I158" t="s">
        <v>28</v>
      </c>
      <c r="J158" t="s">
        <v>13</v>
      </c>
      <c r="K158" t="s">
        <v>298</v>
      </c>
      <c r="L158">
        <v>596</v>
      </c>
      <c r="M158">
        <v>26</v>
      </c>
      <c r="P158" t="s">
        <v>125</v>
      </c>
      <c r="Q158" t="s">
        <v>28</v>
      </c>
      <c r="S158">
        <v>596</v>
      </c>
      <c r="T158">
        <v>26</v>
      </c>
      <c r="X158" t="s">
        <v>1061</v>
      </c>
      <c r="Z158" t="s">
        <v>340</v>
      </c>
      <c r="AB158" t="s">
        <v>341</v>
      </c>
      <c r="AE158" t="s">
        <v>342</v>
      </c>
      <c r="AF158" t="s">
        <v>921</v>
      </c>
      <c r="AG158" t="s">
        <v>343</v>
      </c>
      <c r="AH158" t="s">
        <v>344</v>
      </c>
      <c r="AI158" t="s">
        <v>345</v>
      </c>
    </row>
    <row r="159" spans="1:36" x14ac:dyDescent="0.35">
      <c r="A159">
        <v>158</v>
      </c>
      <c r="B159">
        <f>_xlfn.XLOOKUP(C159, csl_deposits!B:B, csl_deposits!A:A, "NA", 0,1)</f>
        <v>68</v>
      </c>
      <c r="C159" t="s">
        <v>835</v>
      </c>
      <c r="E159" t="s">
        <v>1184</v>
      </c>
      <c r="F159" t="s">
        <v>1036</v>
      </c>
      <c r="G159" t="s">
        <v>0</v>
      </c>
      <c r="H159" t="s">
        <v>1185</v>
      </c>
      <c r="I159" t="s">
        <v>28</v>
      </c>
      <c r="J159" t="s">
        <v>13</v>
      </c>
      <c r="K159" t="s">
        <v>298</v>
      </c>
      <c r="L159" s="5">
        <v>627</v>
      </c>
      <c r="M159" s="5">
        <v>32</v>
      </c>
      <c r="P159" t="s">
        <v>125</v>
      </c>
      <c r="Q159" t="s">
        <v>28</v>
      </c>
      <c r="R159" s="3"/>
      <c r="S159" s="5">
        <v>627</v>
      </c>
      <c r="T159" s="5">
        <v>32</v>
      </c>
      <c r="X159" t="s">
        <v>1072</v>
      </c>
      <c r="AB159" t="s">
        <v>346</v>
      </c>
      <c r="AD159" t="s">
        <v>347</v>
      </c>
      <c r="AE159" t="s">
        <v>342</v>
      </c>
      <c r="AF159" t="s">
        <v>921</v>
      </c>
      <c r="AG159" t="s">
        <v>344</v>
      </c>
      <c r="AH159" t="s">
        <v>345</v>
      </c>
    </row>
    <row r="160" spans="1:36" x14ac:dyDescent="0.35">
      <c r="A160">
        <v>159</v>
      </c>
      <c r="B160">
        <f>_xlfn.XLOOKUP(C160, csl_deposits!B:B, csl_deposits!A:A, "NA", 0,1)</f>
        <v>68</v>
      </c>
      <c r="C160" t="s">
        <v>835</v>
      </c>
      <c r="D160" t="s">
        <v>348</v>
      </c>
      <c r="E160" t="s">
        <v>1188</v>
      </c>
      <c r="F160" s="3"/>
      <c r="G160" t="s">
        <v>0</v>
      </c>
      <c r="H160" t="s">
        <v>1185</v>
      </c>
      <c r="I160" t="s">
        <v>24</v>
      </c>
      <c r="J160" t="s">
        <v>0</v>
      </c>
      <c r="K160" t="s">
        <v>7</v>
      </c>
      <c r="L160">
        <v>646</v>
      </c>
      <c r="P160" t="s">
        <v>14</v>
      </c>
      <c r="Q160" t="s">
        <v>25</v>
      </c>
      <c r="S160">
        <v>646</v>
      </c>
      <c r="X160" t="s">
        <v>1322</v>
      </c>
      <c r="AB160" t="s">
        <v>346</v>
      </c>
      <c r="AD160" t="s">
        <v>347</v>
      </c>
      <c r="AE160" t="s">
        <v>342</v>
      </c>
      <c r="AG160" t="s">
        <v>349</v>
      </c>
      <c r="AH160" t="s">
        <v>350</v>
      </c>
    </row>
    <row r="161" spans="1:34" x14ac:dyDescent="0.35">
      <c r="A161">
        <v>160</v>
      </c>
      <c r="B161">
        <f>_xlfn.XLOOKUP(C161, csl_deposits!B:B, csl_deposits!A:A, "NA", 0,1)</f>
        <v>72</v>
      </c>
      <c r="C161" t="s">
        <v>351</v>
      </c>
      <c r="D161" t="s">
        <v>352</v>
      </c>
      <c r="E161" t="s">
        <v>1190</v>
      </c>
      <c r="F161" t="s">
        <v>1036</v>
      </c>
      <c r="G161" t="s">
        <v>1</v>
      </c>
      <c r="H161" t="s">
        <v>1185</v>
      </c>
      <c r="I161" t="s">
        <v>88</v>
      </c>
      <c r="J161" t="s">
        <v>0</v>
      </c>
      <c r="K161" t="s">
        <v>298</v>
      </c>
      <c r="L161" s="5">
        <v>570</v>
      </c>
      <c r="M161" s="5"/>
      <c r="P161" t="s">
        <v>125</v>
      </c>
      <c r="Q161" t="s">
        <v>9</v>
      </c>
      <c r="R161" s="3"/>
      <c r="S161" s="5">
        <v>570</v>
      </c>
      <c r="T161" s="5"/>
      <c r="X161" t="s">
        <v>1037</v>
      </c>
      <c r="Y161" s="3" t="s">
        <v>353</v>
      </c>
      <c r="Z161" t="s">
        <v>354</v>
      </c>
      <c r="AB161" t="s">
        <v>355</v>
      </c>
      <c r="AD161" t="s">
        <v>356</v>
      </c>
      <c r="AG161" t="s">
        <v>357</v>
      </c>
    </row>
    <row r="162" spans="1:34" x14ac:dyDescent="0.35">
      <c r="A162">
        <v>161</v>
      </c>
      <c r="B162">
        <f>_xlfn.XLOOKUP(C162, csl_deposits!B:B, csl_deposits!A:A, "NA", 0,1)</f>
        <v>72</v>
      </c>
      <c r="C162" t="s">
        <v>351</v>
      </c>
      <c r="D162" t="s">
        <v>358</v>
      </c>
      <c r="E162" t="s">
        <v>1190</v>
      </c>
      <c r="F162" t="s">
        <v>1036</v>
      </c>
      <c r="H162" t="s">
        <v>1185</v>
      </c>
      <c r="I162" t="s">
        <v>359</v>
      </c>
      <c r="J162" t="s">
        <v>0</v>
      </c>
      <c r="K162" t="s">
        <v>298</v>
      </c>
      <c r="L162" s="5">
        <v>596</v>
      </c>
      <c r="M162" s="5">
        <v>5</v>
      </c>
      <c r="P162" t="s">
        <v>125</v>
      </c>
      <c r="Q162" t="s">
        <v>25</v>
      </c>
      <c r="R162" s="3"/>
      <c r="S162" s="5">
        <v>596</v>
      </c>
      <c r="T162" s="5">
        <v>5</v>
      </c>
      <c r="X162" t="s">
        <v>1038</v>
      </c>
      <c r="Y162" s="3"/>
      <c r="Z162" t="s">
        <v>354</v>
      </c>
      <c r="AB162" t="s">
        <v>355</v>
      </c>
      <c r="AG162" t="s">
        <v>357</v>
      </c>
    </row>
    <row r="163" spans="1:34" x14ac:dyDescent="0.35">
      <c r="A163">
        <v>162</v>
      </c>
      <c r="B163">
        <f>_xlfn.XLOOKUP(C163, csl_deposits!B:B, csl_deposits!A:A, "NA", 0,1)</f>
        <v>72</v>
      </c>
      <c r="C163" t="s">
        <v>351</v>
      </c>
      <c r="D163" t="s">
        <v>360</v>
      </c>
      <c r="E163" t="s">
        <v>1184</v>
      </c>
      <c r="F163" t="s">
        <v>1036</v>
      </c>
      <c r="G163" t="s">
        <v>0</v>
      </c>
      <c r="H163" t="s">
        <v>1185</v>
      </c>
      <c r="I163" t="s">
        <v>79</v>
      </c>
      <c r="J163" t="s">
        <v>0</v>
      </c>
      <c r="K163" t="s">
        <v>298</v>
      </c>
      <c r="L163" s="5">
        <v>593</v>
      </c>
      <c r="M163" s="5">
        <v>3</v>
      </c>
      <c r="P163" t="s">
        <v>125</v>
      </c>
      <c r="Q163" t="s">
        <v>25</v>
      </c>
      <c r="R163" s="3"/>
      <c r="S163" s="5">
        <v>593</v>
      </c>
      <c r="T163" s="5">
        <v>3</v>
      </c>
      <c r="W163">
        <v>0.05</v>
      </c>
      <c r="X163" t="s">
        <v>1039</v>
      </c>
      <c r="Y163" s="3"/>
      <c r="Z163" t="s">
        <v>354</v>
      </c>
      <c r="AB163" t="s">
        <v>362</v>
      </c>
      <c r="AC163" t="s">
        <v>363</v>
      </c>
      <c r="AD163" t="s">
        <v>351</v>
      </c>
      <c r="AG163" t="s">
        <v>357</v>
      </c>
    </row>
    <row r="164" spans="1:34" x14ac:dyDescent="0.35">
      <c r="A164">
        <v>163</v>
      </c>
      <c r="B164">
        <f>_xlfn.XLOOKUP(C164, csl_deposits!B:B, csl_deposits!A:A, "NA", 0,1)</f>
        <v>72</v>
      </c>
      <c r="C164" t="s">
        <v>351</v>
      </c>
      <c r="D164" t="s">
        <v>364</v>
      </c>
      <c r="E164" t="s">
        <v>1184</v>
      </c>
      <c r="F164" t="s">
        <v>1036</v>
      </c>
      <c r="G164" t="s">
        <v>0</v>
      </c>
      <c r="H164" t="s">
        <v>1185</v>
      </c>
      <c r="I164" t="s">
        <v>64</v>
      </c>
      <c r="J164" t="s">
        <v>0</v>
      </c>
      <c r="K164" t="s">
        <v>7</v>
      </c>
      <c r="L164" s="5">
        <v>595.5</v>
      </c>
      <c r="M164" s="5">
        <v>2</v>
      </c>
      <c r="P164" t="s">
        <v>125</v>
      </c>
      <c r="Q164" t="s">
        <v>25</v>
      </c>
      <c r="R164" s="3"/>
      <c r="S164" s="5">
        <v>595.5</v>
      </c>
      <c r="T164" s="5">
        <v>2</v>
      </c>
      <c r="W164">
        <v>0.24</v>
      </c>
      <c r="X164" t="s">
        <v>1040</v>
      </c>
      <c r="Y164" s="3"/>
      <c r="Z164" t="s">
        <v>354</v>
      </c>
      <c r="AB164" t="s">
        <v>362</v>
      </c>
      <c r="AC164" t="s">
        <v>363</v>
      </c>
      <c r="AD164" t="s">
        <v>351</v>
      </c>
      <c r="AG164" t="s">
        <v>357</v>
      </c>
    </row>
    <row r="165" spans="1:34" x14ac:dyDescent="0.35">
      <c r="A165">
        <v>164</v>
      </c>
      <c r="B165">
        <f>_xlfn.XLOOKUP(C165, csl_deposits!B:B, csl_deposits!A:A, "NA", 0,1)</f>
        <v>72</v>
      </c>
      <c r="C165" t="s">
        <v>351</v>
      </c>
      <c r="D165" t="s">
        <v>365</v>
      </c>
      <c r="E165" t="s">
        <v>1184</v>
      </c>
      <c r="F165" t="s">
        <v>1036</v>
      </c>
      <c r="G165" t="s">
        <v>0</v>
      </c>
      <c r="H165" t="s">
        <v>1185</v>
      </c>
      <c r="I165" t="s">
        <v>64</v>
      </c>
      <c r="J165" t="s">
        <v>0</v>
      </c>
      <c r="K165" t="s">
        <v>7</v>
      </c>
      <c r="L165" s="5">
        <v>600</v>
      </c>
      <c r="M165" s="5">
        <v>1</v>
      </c>
      <c r="P165" t="s">
        <v>125</v>
      </c>
      <c r="Q165" t="s">
        <v>25</v>
      </c>
      <c r="R165" s="3"/>
      <c r="S165" s="5">
        <v>600</v>
      </c>
      <c r="T165" s="5">
        <v>1</v>
      </c>
      <c r="W165">
        <v>0.36</v>
      </c>
      <c r="X165" t="s">
        <v>1041</v>
      </c>
      <c r="Y165" s="3"/>
      <c r="Z165" t="s">
        <v>354</v>
      </c>
      <c r="AB165" t="s">
        <v>362</v>
      </c>
      <c r="AC165" t="s">
        <v>363</v>
      </c>
      <c r="AD165" t="s">
        <v>351</v>
      </c>
      <c r="AG165" t="s">
        <v>357</v>
      </c>
    </row>
    <row r="166" spans="1:34" x14ac:dyDescent="0.35">
      <c r="A166">
        <v>165</v>
      </c>
      <c r="B166">
        <f>_xlfn.XLOOKUP(C166, csl_deposits!B:B, csl_deposits!A:A, "NA", 0,1)</f>
        <v>72</v>
      </c>
      <c r="C166" t="s">
        <v>351</v>
      </c>
      <c r="D166" t="s">
        <v>366</v>
      </c>
      <c r="E166" t="s">
        <v>1184</v>
      </c>
      <c r="F166" t="s">
        <v>1036</v>
      </c>
      <c r="G166" t="s">
        <v>0</v>
      </c>
      <c r="H166" t="s">
        <v>1185</v>
      </c>
      <c r="I166" t="s">
        <v>64</v>
      </c>
      <c r="J166" t="s">
        <v>0</v>
      </c>
      <c r="K166" t="s">
        <v>7</v>
      </c>
      <c r="L166" s="5">
        <v>610</v>
      </c>
      <c r="M166" s="5">
        <v>2</v>
      </c>
      <c r="P166" t="s">
        <v>125</v>
      </c>
      <c r="Q166" t="s">
        <v>25</v>
      </c>
      <c r="R166" s="3"/>
      <c r="S166" s="5">
        <v>610</v>
      </c>
      <c r="T166" s="5">
        <v>2</v>
      </c>
      <c r="W166">
        <v>0.01</v>
      </c>
      <c r="X166" t="s">
        <v>1042</v>
      </c>
      <c r="Y166" s="3"/>
      <c r="Z166" t="s">
        <v>354</v>
      </c>
      <c r="AB166" t="s">
        <v>362</v>
      </c>
      <c r="AC166" t="s">
        <v>363</v>
      </c>
      <c r="AD166" t="s">
        <v>351</v>
      </c>
      <c r="AG166" t="s">
        <v>357</v>
      </c>
    </row>
    <row r="167" spans="1:34" x14ac:dyDescent="0.35">
      <c r="A167">
        <v>166</v>
      </c>
      <c r="B167">
        <f>_xlfn.XLOOKUP(C167, csl_deposits!B:B, csl_deposits!A:A, "NA", 0,1)</f>
        <v>73</v>
      </c>
      <c r="C167" t="s">
        <v>855</v>
      </c>
      <c r="E167" t="s">
        <v>1184</v>
      </c>
      <c r="F167" t="s">
        <v>1324</v>
      </c>
      <c r="H167" t="s">
        <v>1022</v>
      </c>
      <c r="I167" t="s">
        <v>28</v>
      </c>
      <c r="J167" t="s">
        <v>0</v>
      </c>
      <c r="K167" t="s">
        <v>1198</v>
      </c>
      <c r="L167" s="5">
        <v>574</v>
      </c>
      <c r="M167" s="5">
        <v>4.7</v>
      </c>
      <c r="N167" t="s">
        <v>1007</v>
      </c>
      <c r="O167" t="s">
        <v>1199</v>
      </c>
      <c r="R167" s="3"/>
      <c r="S167" s="5"/>
      <c r="T167" s="5"/>
      <c r="Y167" s="3"/>
      <c r="Z167" t="s">
        <v>246</v>
      </c>
      <c r="AB167" t="s">
        <v>1278</v>
      </c>
      <c r="AF167" t="s">
        <v>1277</v>
      </c>
      <c r="AG167" t="s">
        <v>245</v>
      </c>
    </row>
    <row r="168" spans="1:34" x14ac:dyDescent="0.35">
      <c r="A168">
        <v>167</v>
      </c>
      <c r="B168">
        <f>_xlfn.XLOOKUP(C168, csl_deposits!B:B, csl_deposits!A:A, "NA", 0,1)</f>
        <v>73</v>
      </c>
      <c r="C168" t="s">
        <v>855</v>
      </c>
      <c r="E168" t="s">
        <v>1184</v>
      </c>
      <c r="F168" t="s">
        <v>1324</v>
      </c>
      <c r="H168" t="s">
        <v>1022</v>
      </c>
      <c r="I168" t="s">
        <v>28</v>
      </c>
      <c r="J168" t="s">
        <v>0</v>
      </c>
      <c r="K168" t="s">
        <v>1198</v>
      </c>
      <c r="L168" s="5">
        <v>574</v>
      </c>
      <c r="M168" s="5">
        <v>4.7</v>
      </c>
      <c r="N168" t="s">
        <v>1007</v>
      </c>
      <c r="O168" t="s">
        <v>1199</v>
      </c>
      <c r="R168" s="3"/>
      <c r="S168" s="5"/>
      <c r="T168" s="5"/>
      <c r="Y168" s="3"/>
      <c r="Z168" t="s">
        <v>246</v>
      </c>
      <c r="AB168" t="s">
        <v>1279</v>
      </c>
      <c r="AF168" t="s">
        <v>1277</v>
      </c>
      <c r="AG168" t="s">
        <v>245</v>
      </c>
    </row>
    <row r="169" spans="1:34" x14ac:dyDescent="0.35">
      <c r="A169">
        <v>168</v>
      </c>
      <c r="B169">
        <f>_xlfn.XLOOKUP(C169, csl_deposits!B:B, csl_deposits!A:A, "NA", 0,1)</f>
        <v>73</v>
      </c>
      <c r="C169" t="s">
        <v>855</v>
      </c>
      <c r="E169" t="s">
        <v>1188</v>
      </c>
      <c r="F169" t="s">
        <v>1324</v>
      </c>
      <c r="H169" t="s">
        <v>1022</v>
      </c>
      <c r="I169" t="s">
        <v>28</v>
      </c>
      <c r="J169" t="s">
        <v>0</v>
      </c>
      <c r="K169" t="s">
        <v>1198</v>
      </c>
      <c r="L169" s="5">
        <v>574</v>
      </c>
      <c r="M169" s="5">
        <v>4.7</v>
      </c>
      <c r="N169" t="s">
        <v>1007</v>
      </c>
      <c r="O169" t="s">
        <v>1323</v>
      </c>
      <c r="R169" s="3"/>
      <c r="S169" s="5"/>
      <c r="T169" s="5"/>
      <c r="Y169" s="3"/>
      <c r="Z169" t="s">
        <v>241</v>
      </c>
      <c r="AB169" t="s">
        <v>1076</v>
      </c>
      <c r="AD169" t="s">
        <v>1276</v>
      </c>
      <c r="AF169" t="s">
        <v>1277</v>
      </c>
      <c r="AG169" t="s">
        <v>245</v>
      </c>
    </row>
    <row r="170" spans="1:34" x14ac:dyDescent="0.35">
      <c r="A170">
        <v>169</v>
      </c>
      <c r="B170">
        <f>_xlfn.XLOOKUP(C170, csl_deposits!B:B, csl_deposits!A:A, "NA", 0,1)</f>
        <v>73</v>
      </c>
      <c r="C170" t="s">
        <v>855</v>
      </c>
      <c r="D170" t="s">
        <v>238</v>
      </c>
      <c r="E170" t="s">
        <v>1190</v>
      </c>
      <c r="F170" t="s">
        <v>1073</v>
      </c>
      <c r="G170" t="s">
        <v>1</v>
      </c>
      <c r="H170" t="s">
        <v>1185</v>
      </c>
      <c r="I170" t="s">
        <v>88</v>
      </c>
      <c r="J170" t="s">
        <v>13</v>
      </c>
      <c r="K170" t="s">
        <v>7</v>
      </c>
      <c r="L170" s="5">
        <v>567.20000000000005</v>
      </c>
      <c r="M170" s="5">
        <v>3.9</v>
      </c>
      <c r="P170" t="s">
        <v>240</v>
      </c>
      <c r="Q170" t="s">
        <v>9</v>
      </c>
      <c r="R170" s="3"/>
      <c r="S170" s="5">
        <v>567.20000000000005</v>
      </c>
      <c r="T170" s="5">
        <v>3.9</v>
      </c>
      <c r="W170">
        <v>1.1399999999999999</v>
      </c>
      <c r="X170" t="s">
        <v>1074</v>
      </c>
      <c r="Y170" s="3"/>
      <c r="Z170" t="s">
        <v>241</v>
      </c>
      <c r="AB170" t="s">
        <v>242</v>
      </c>
      <c r="AF170" t="s">
        <v>1274</v>
      </c>
      <c r="AG170" t="s">
        <v>243</v>
      </c>
      <c r="AH170" t="s">
        <v>244</v>
      </c>
    </row>
    <row r="171" spans="1:34" x14ac:dyDescent="0.35">
      <c r="A171">
        <v>170</v>
      </c>
      <c r="B171">
        <f>_xlfn.XLOOKUP(C171, csl_deposits!B:B, csl_deposits!A:A, "NA", 0,1)</f>
        <v>73</v>
      </c>
      <c r="C171" t="s">
        <v>855</v>
      </c>
      <c r="D171" t="s">
        <v>247</v>
      </c>
      <c r="E171" t="s">
        <v>1184</v>
      </c>
      <c r="F171" t="s">
        <v>1073</v>
      </c>
      <c r="G171" t="s">
        <v>0</v>
      </c>
      <c r="H171" t="s">
        <v>1185</v>
      </c>
      <c r="I171" t="s">
        <v>248</v>
      </c>
      <c r="J171" t="s">
        <v>13</v>
      </c>
      <c r="K171" t="s">
        <v>7</v>
      </c>
      <c r="L171" s="5">
        <v>598.1</v>
      </c>
      <c r="M171" s="5">
        <v>6</v>
      </c>
      <c r="P171" t="s">
        <v>14</v>
      </c>
      <c r="Q171" t="s">
        <v>9</v>
      </c>
      <c r="R171" s="3"/>
      <c r="S171" s="5">
        <v>598.1</v>
      </c>
      <c r="T171" s="5">
        <v>6</v>
      </c>
      <c r="W171">
        <v>1.3</v>
      </c>
      <c r="X171" t="s">
        <v>1077</v>
      </c>
      <c r="Y171" s="3"/>
      <c r="Z171" t="s">
        <v>246</v>
      </c>
      <c r="AB171" t="s">
        <v>249</v>
      </c>
      <c r="AF171" t="s">
        <v>1274</v>
      </c>
      <c r="AG171" t="s">
        <v>244</v>
      </c>
    </row>
    <row r="172" spans="1:34" x14ac:dyDescent="0.35">
      <c r="A172">
        <v>171</v>
      </c>
      <c r="B172">
        <f>_xlfn.XLOOKUP(C172, csl_deposits!B:B, csl_deposits!A:A, "NA", 0,1)</f>
        <v>75</v>
      </c>
      <c r="C172" t="s">
        <v>863</v>
      </c>
      <c r="D172" t="s">
        <v>367</v>
      </c>
      <c r="E172" t="s">
        <v>1184</v>
      </c>
      <c r="G172" t="s">
        <v>0</v>
      </c>
      <c r="H172" t="s">
        <v>1185</v>
      </c>
      <c r="I172" t="s">
        <v>79</v>
      </c>
      <c r="J172" t="s">
        <v>0</v>
      </c>
      <c r="K172" t="s">
        <v>7</v>
      </c>
      <c r="L172">
        <v>592</v>
      </c>
      <c r="M172">
        <v>5</v>
      </c>
      <c r="P172" t="s">
        <v>14</v>
      </c>
      <c r="Q172" t="s">
        <v>25</v>
      </c>
      <c r="R172" s="3"/>
      <c r="S172">
        <v>592</v>
      </c>
      <c r="T172">
        <v>5</v>
      </c>
      <c r="W172">
        <v>0.68</v>
      </c>
      <c r="X172" t="s">
        <v>1325</v>
      </c>
      <c r="Y172" s="3"/>
      <c r="AB172" t="s">
        <v>369</v>
      </c>
      <c r="AE172" t="s">
        <v>370</v>
      </c>
      <c r="AG172" t="s">
        <v>371</v>
      </c>
    </row>
    <row r="173" spans="1:34" x14ac:dyDescent="0.35">
      <c r="A173">
        <v>172</v>
      </c>
      <c r="B173">
        <f>_xlfn.XLOOKUP(C173, csl_deposits!B:B, csl_deposits!A:A, "NA", 0,1)</f>
        <v>76</v>
      </c>
      <c r="C173" t="s">
        <v>866</v>
      </c>
      <c r="E173" t="s">
        <v>1190</v>
      </c>
      <c r="F173" t="s">
        <v>1275</v>
      </c>
      <c r="H173" t="s">
        <v>1022</v>
      </c>
      <c r="I173" t="s">
        <v>28</v>
      </c>
      <c r="J173" t="s">
        <v>1</v>
      </c>
      <c r="K173" t="s">
        <v>1198</v>
      </c>
      <c r="L173" s="5">
        <v>574</v>
      </c>
      <c r="M173" s="5">
        <v>4.7</v>
      </c>
      <c r="N173" t="s">
        <v>1007</v>
      </c>
      <c r="O173" t="s">
        <v>1206</v>
      </c>
      <c r="R173" s="3"/>
      <c r="S173" s="5"/>
      <c r="T173" s="5"/>
      <c r="Y173" s="3"/>
      <c r="Z173" t="s">
        <v>241</v>
      </c>
      <c r="AB173" t="s">
        <v>1076</v>
      </c>
      <c r="AD173" t="s">
        <v>1276</v>
      </c>
      <c r="AF173" t="s">
        <v>1277</v>
      </c>
      <c r="AG173" t="s">
        <v>245</v>
      </c>
    </row>
    <row r="174" spans="1:34" x14ac:dyDescent="0.35">
      <c r="A174">
        <v>173</v>
      </c>
      <c r="B174">
        <f>_xlfn.XLOOKUP(C174, csl_deposits!B:B, csl_deposits!A:A, "NA", 0,1)</f>
        <v>76</v>
      </c>
      <c r="C174" t="s">
        <v>866</v>
      </c>
      <c r="E174" t="s">
        <v>1190</v>
      </c>
      <c r="F174" t="s">
        <v>1275</v>
      </c>
      <c r="H174" t="s">
        <v>1022</v>
      </c>
      <c r="I174" t="s">
        <v>28</v>
      </c>
      <c r="J174" t="s">
        <v>1</v>
      </c>
      <c r="K174" t="s">
        <v>1198</v>
      </c>
      <c r="L174" s="5">
        <v>574</v>
      </c>
      <c r="M174" s="5">
        <v>4.7</v>
      </c>
      <c r="N174" t="s">
        <v>1007</v>
      </c>
      <c r="O174" t="s">
        <v>1206</v>
      </c>
      <c r="R174" s="3"/>
      <c r="S174" s="5"/>
      <c r="T174" s="5"/>
      <c r="Y174" s="3"/>
      <c r="Z174" t="s">
        <v>246</v>
      </c>
      <c r="AB174" t="s">
        <v>1278</v>
      </c>
      <c r="AF174" t="s">
        <v>1277</v>
      </c>
      <c r="AG174" t="s">
        <v>245</v>
      </c>
    </row>
    <row r="175" spans="1:34" x14ac:dyDescent="0.35">
      <c r="A175">
        <v>174</v>
      </c>
      <c r="B175">
        <f>_xlfn.XLOOKUP(C175, csl_deposits!B:B, csl_deposits!A:A, "NA", 0,1)</f>
        <v>76</v>
      </c>
      <c r="C175" t="s">
        <v>866</v>
      </c>
      <c r="E175" t="s">
        <v>1190</v>
      </c>
      <c r="F175" t="s">
        <v>1275</v>
      </c>
      <c r="H175" t="s">
        <v>1022</v>
      </c>
      <c r="I175" t="s">
        <v>28</v>
      </c>
      <c r="J175" t="s">
        <v>1</v>
      </c>
      <c r="K175" t="s">
        <v>1198</v>
      </c>
      <c r="L175" s="5">
        <v>574</v>
      </c>
      <c r="M175" s="5">
        <v>4.7</v>
      </c>
      <c r="N175" t="s">
        <v>1007</v>
      </c>
      <c r="O175" t="s">
        <v>1206</v>
      </c>
      <c r="R175" s="3"/>
      <c r="S175" s="5"/>
      <c r="T175" s="5"/>
      <c r="Y175" s="3"/>
      <c r="Z175" t="s">
        <v>246</v>
      </c>
      <c r="AB175" t="s">
        <v>1279</v>
      </c>
      <c r="AF175" t="s">
        <v>1277</v>
      </c>
      <c r="AG175" t="s">
        <v>245</v>
      </c>
    </row>
    <row r="176" spans="1:34" x14ac:dyDescent="0.35">
      <c r="A176">
        <v>175</v>
      </c>
      <c r="B176">
        <f>_xlfn.XLOOKUP(C176, csl_deposits!B:B, csl_deposits!A:A, "NA", 0,1)</f>
        <v>76</v>
      </c>
      <c r="C176" t="s">
        <v>866</v>
      </c>
      <c r="D176" t="s">
        <v>238</v>
      </c>
      <c r="E176" t="s">
        <v>1190</v>
      </c>
      <c r="F176" t="s">
        <v>1073</v>
      </c>
      <c r="G176" t="s">
        <v>1</v>
      </c>
      <c r="H176" t="s">
        <v>1185</v>
      </c>
      <c r="I176" t="s">
        <v>88</v>
      </c>
      <c r="J176" t="s">
        <v>13</v>
      </c>
      <c r="K176" t="s">
        <v>7</v>
      </c>
      <c r="L176" s="5">
        <v>567.20000000000005</v>
      </c>
      <c r="M176" s="5">
        <v>3.9</v>
      </c>
      <c r="P176" t="s">
        <v>240</v>
      </c>
      <c r="Q176" t="s">
        <v>9</v>
      </c>
      <c r="R176" s="3"/>
      <c r="S176" s="5">
        <v>567.20000000000005</v>
      </c>
      <c r="T176" s="5">
        <v>3.9</v>
      </c>
      <c r="W176">
        <v>1.1399999999999999</v>
      </c>
      <c r="X176" t="s">
        <v>1074</v>
      </c>
      <c r="Y176" s="3"/>
      <c r="Z176" t="s">
        <v>241</v>
      </c>
      <c r="AB176" t="s">
        <v>242</v>
      </c>
      <c r="AF176" t="s">
        <v>1274</v>
      </c>
      <c r="AG176" t="s">
        <v>243</v>
      </c>
      <c r="AH176" t="s">
        <v>244</v>
      </c>
    </row>
    <row r="177" spans="1:35" x14ac:dyDescent="0.35">
      <c r="A177">
        <v>176</v>
      </c>
      <c r="B177">
        <f>_xlfn.XLOOKUP(C177, csl_deposits!B:B, csl_deposits!A:A, "NA", 0,1)</f>
        <v>76</v>
      </c>
      <c r="C177" t="s">
        <v>866</v>
      </c>
      <c r="D177" t="s">
        <v>247</v>
      </c>
      <c r="E177" t="s">
        <v>1184</v>
      </c>
      <c r="F177" t="s">
        <v>1073</v>
      </c>
      <c r="G177" t="s">
        <v>0</v>
      </c>
      <c r="H177" t="s">
        <v>1185</v>
      </c>
      <c r="I177" t="s">
        <v>248</v>
      </c>
      <c r="J177" t="s">
        <v>13</v>
      </c>
      <c r="K177" t="s">
        <v>7</v>
      </c>
      <c r="L177" s="5">
        <v>598.1</v>
      </c>
      <c r="M177" s="5">
        <v>6</v>
      </c>
      <c r="P177" t="s">
        <v>14</v>
      </c>
      <c r="Q177" t="s">
        <v>9</v>
      </c>
      <c r="R177" s="3"/>
      <c r="S177" s="5">
        <v>598.1</v>
      </c>
      <c r="T177" s="5">
        <v>6</v>
      </c>
      <c r="W177">
        <v>1.3</v>
      </c>
      <c r="X177" t="s">
        <v>1077</v>
      </c>
      <c r="Y177" s="3"/>
      <c r="Z177" t="s">
        <v>246</v>
      </c>
      <c r="AB177" t="s">
        <v>249</v>
      </c>
      <c r="AF177" t="s">
        <v>1274</v>
      </c>
      <c r="AG177" t="s">
        <v>244</v>
      </c>
    </row>
    <row r="178" spans="1:35" x14ac:dyDescent="0.35">
      <c r="A178">
        <v>177</v>
      </c>
      <c r="B178">
        <f>_xlfn.XLOOKUP(C178, csl_deposits!B:B, csl_deposits!A:A, "NA", 0,1)</f>
        <v>77</v>
      </c>
      <c r="C178" t="s">
        <v>871</v>
      </c>
      <c r="D178" t="s">
        <v>372</v>
      </c>
      <c r="E178" t="s">
        <v>1190</v>
      </c>
      <c r="F178" t="s">
        <v>1033</v>
      </c>
      <c r="G178" t="s">
        <v>1</v>
      </c>
      <c r="H178" t="s">
        <v>1185</v>
      </c>
      <c r="I178" t="s">
        <v>115</v>
      </c>
      <c r="J178" t="s">
        <v>13</v>
      </c>
      <c r="K178" t="s">
        <v>7</v>
      </c>
      <c r="L178" s="5">
        <v>559</v>
      </c>
      <c r="M178" s="5">
        <v>6</v>
      </c>
      <c r="P178" t="s">
        <v>71</v>
      </c>
      <c r="Q178" t="s">
        <v>9</v>
      </c>
      <c r="R178" s="3"/>
      <c r="S178" s="5">
        <v>559</v>
      </c>
      <c r="T178" s="5">
        <v>6</v>
      </c>
      <c r="U178" s="6"/>
      <c r="V178" s="6"/>
      <c r="W178" s="6"/>
      <c r="X178" t="s">
        <v>1035</v>
      </c>
      <c r="Y178" s="3"/>
      <c r="Z178" t="s">
        <v>374</v>
      </c>
      <c r="AB178" s="3" t="s">
        <v>375</v>
      </c>
      <c r="AD178" t="s">
        <v>376</v>
      </c>
      <c r="AG178" t="s">
        <v>377</v>
      </c>
      <c r="AH178" t="s">
        <v>225</v>
      </c>
    </row>
    <row r="179" spans="1:35" x14ac:dyDescent="0.35">
      <c r="A179">
        <v>178</v>
      </c>
      <c r="B179">
        <f>_xlfn.XLOOKUP(C179, csl_deposits!B:B, csl_deposits!A:A, "NA", 0,1)</f>
        <v>77</v>
      </c>
      <c r="C179" t="s">
        <v>871</v>
      </c>
      <c r="D179" t="s">
        <v>222</v>
      </c>
      <c r="E179" t="s">
        <v>1190</v>
      </c>
      <c r="F179" s="6" t="s">
        <v>1270</v>
      </c>
      <c r="G179" t="s">
        <v>1</v>
      </c>
      <c r="H179" t="s">
        <v>1185</v>
      </c>
      <c r="I179" t="s">
        <v>223</v>
      </c>
      <c r="J179" t="s">
        <v>13</v>
      </c>
      <c r="K179" t="s">
        <v>7</v>
      </c>
      <c r="L179" s="5">
        <v>574.9</v>
      </c>
      <c r="M179" s="5">
        <v>3</v>
      </c>
      <c r="P179" t="s">
        <v>14</v>
      </c>
      <c r="Q179" t="s">
        <v>9</v>
      </c>
      <c r="R179" s="3"/>
      <c r="S179" s="5">
        <v>574.9</v>
      </c>
      <c r="T179" s="5">
        <v>3</v>
      </c>
      <c r="U179" s="6"/>
      <c r="V179" s="6"/>
      <c r="W179" s="6">
        <v>2.1</v>
      </c>
      <c r="X179" t="s">
        <v>1051</v>
      </c>
      <c r="Y179" s="3"/>
      <c r="Z179" t="s">
        <v>224</v>
      </c>
      <c r="AG179" t="s">
        <v>225</v>
      </c>
    </row>
    <row r="180" spans="1:35" x14ac:dyDescent="0.35">
      <c r="A180">
        <v>179</v>
      </c>
      <c r="B180">
        <f>_xlfn.XLOOKUP(C180, csl_deposits!B:B, csl_deposits!A:A, "NA", 0,1)</f>
        <v>77</v>
      </c>
      <c r="C180" t="s">
        <v>871</v>
      </c>
      <c r="D180" t="s">
        <v>321</v>
      </c>
      <c r="E180" t="s">
        <v>1190</v>
      </c>
      <c r="F180" t="s">
        <v>1064</v>
      </c>
      <c r="G180" t="s">
        <v>1</v>
      </c>
      <c r="H180" t="s">
        <v>1185</v>
      </c>
      <c r="I180" t="s">
        <v>266</v>
      </c>
      <c r="J180" t="s">
        <v>13</v>
      </c>
      <c r="K180" t="s">
        <v>7</v>
      </c>
      <c r="L180">
        <v>567</v>
      </c>
      <c r="M180">
        <v>5</v>
      </c>
      <c r="P180" t="s">
        <v>71</v>
      </c>
      <c r="Q180" t="s">
        <v>9</v>
      </c>
      <c r="S180">
        <v>567</v>
      </c>
      <c r="T180">
        <v>5</v>
      </c>
      <c r="W180">
        <v>1.5</v>
      </c>
      <c r="X180" t="s">
        <v>1065</v>
      </c>
      <c r="Y180" s="3"/>
      <c r="Z180" t="s">
        <v>224</v>
      </c>
      <c r="AG180" t="s">
        <v>319</v>
      </c>
      <c r="AH180" t="s">
        <v>225</v>
      </c>
    </row>
    <row r="181" spans="1:35" x14ac:dyDescent="0.35">
      <c r="A181">
        <v>180</v>
      </c>
      <c r="B181">
        <f>_xlfn.XLOOKUP(C181, csl_deposits!B:B, csl_deposits!A:A, "NA", 0,1)</f>
        <v>77</v>
      </c>
      <c r="C181" t="s">
        <v>871</v>
      </c>
      <c r="D181" t="s">
        <v>314</v>
      </c>
      <c r="E181" t="s">
        <v>1190</v>
      </c>
      <c r="F181" t="s">
        <v>1309</v>
      </c>
      <c r="G181" t="s">
        <v>1</v>
      </c>
      <c r="H181" t="s">
        <v>1185</v>
      </c>
      <c r="I181" t="s">
        <v>1067</v>
      </c>
      <c r="J181" t="s">
        <v>13</v>
      </c>
      <c r="K181" t="s">
        <v>7</v>
      </c>
      <c r="L181">
        <v>541</v>
      </c>
      <c r="M181">
        <v>6</v>
      </c>
      <c r="P181" t="s">
        <v>71</v>
      </c>
      <c r="Q181" t="s">
        <v>9</v>
      </c>
      <c r="S181">
        <v>541</v>
      </c>
      <c r="T181">
        <v>6</v>
      </c>
      <c r="W181">
        <v>0.39</v>
      </c>
      <c r="X181" t="s">
        <v>1068</v>
      </c>
      <c r="Y181" s="3"/>
      <c r="Z181" t="s">
        <v>317</v>
      </c>
      <c r="AB181" t="s">
        <v>318</v>
      </c>
      <c r="AG181" t="s">
        <v>319</v>
      </c>
    </row>
    <row r="182" spans="1:35" x14ac:dyDescent="0.35">
      <c r="A182">
        <v>181</v>
      </c>
      <c r="B182">
        <f>_xlfn.XLOOKUP(C182, csl_deposits!B:B, csl_deposits!A:A, "NA", 0,1)</f>
        <v>77</v>
      </c>
      <c r="C182" t="s">
        <v>871</v>
      </c>
      <c r="D182" t="s">
        <v>320</v>
      </c>
      <c r="E182" t="s">
        <v>1190</v>
      </c>
      <c r="F182" s="3"/>
      <c r="G182" t="s">
        <v>1</v>
      </c>
      <c r="H182" t="s">
        <v>1185</v>
      </c>
      <c r="I182" t="s">
        <v>266</v>
      </c>
      <c r="J182" t="s">
        <v>13</v>
      </c>
      <c r="K182" t="s">
        <v>7</v>
      </c>
      <c r="L182">
        <v>566</v>
      </c>
      <c r="M182">
        <v>4</v>
      </c>
      <c r="P182" t="s">
        <v>71</v>
      </c>
      <c r="Q182" t="s">
        <v>9</v>
      </c>
      <c r="S182">
        <v>566</v>
      </c>
      <c r="T182">
        <v>4</v>
      </c>
      <c r="W182">
        <v>1.1299999999999999</v>
      </c>
      <c r="X182" t="s">
        <v>1069</v>
      </c>
      <c r="Y182" s="3"/>
      <c r="Z182" t="s">
        <v>224</v>
      </c>
      <c r="AG182" t="s">
        <v>319</v>
      </c>
    </row>
    <row r="183" spans="1:35" x14ac:dyDescent="0.35">
      <c r="A183">
        <v>182</v>
      </c>
      <c r="B183">
        <f>_xlfn.XLOOKUP(C183, csl_deposits!B:B, csl_deposits!A:A, "NA", 0,1)</f>
        <v>77</v>
      </c>
      <c r="C183" t="s">
        <v>871</v>
      </c>
      <c r="D183" t="s">
        <v>388</v>
      </c>
      <c r="E183" s="15" t="s">
        <v>1190</v>
      </c>
      <c r="F183" s="15" t="s">
        <v>1033</v>
      </c>
      <c r="G183" s="15" t="s">
        <v>1</v>
      </c>
      <c r="H183" t="s">
        <v>1185</v>
      </c>
      <c r="I183" s="15" t="s">
        <v>54</v>
      </c>
      <c r="J183" s="15" t="s">
        <v>6</v>
      </c>
      <c r="K183" s="15" t="s">
        <v>7</v>
      </c>
      <c r="L183" s="16">
        <v>578.5</v>
      </c>
      <c r="M183" s="16">
        <v>1.2</v>
      </c>
      <c r="P183" s="15" t="s">
        <v>267</v>
      </c>
      <c r="Q183" s="15" t="s">
        <v>9</v>
      </c>
      <c r="R183" s="15"/>
      <c r="S183" s="16">
        <v>578.5</v>
      </c>
      <c r="T183" s="16">
        <v>1.2</v>
      </c>
      <c r="U183" s="17"/>
      <c r="V183" s="17"/>
      <c r="W183" s="6">
        <v>0.8</v>
      </c>
      <c r="X183" t="s">
        <v>1075</v>
      </c>
      <c r="Y183" s="3"/>
      <c r="Z183" s="15" t="s">
        <v>374</v>
      </c>
      <c r="AB183" t="s">
        <v>389</v>
      </c>
      <c r="AG183" t="s">
        <v>390</v>
      </c>
      <c r="AH183" t="s">
        <v>225</v>
      </c>
    </row>
    <row r="184" spans="1:35" x14ac:dyDescent="0.35">
      <c r="A184">
        <v>183</v>
      </c>
      <c r="B184">
        <f>_xlfn.XLOOKUP(C184, csl_deposits!B:B, csl_deposits!A:A, "NA", 0,1)</f>
        <v>77</v>
      </c>
      <c r="C184" t="s">
        <v>871</v>
      </c>
      <c r="D184" t="s">
        <v>391</v>
      </c>
      <c r="E184" t="s">
        <v>1190</v>
      </c>
      <c r="F184" t="s">
        <v>1033</v>
      </c>
      <c r="G184" t="s">
        <v>1</v>
      </c>
      <c r="H184" t="s">
        <v>1185</v>
      </c>
      <c r="I184" t="s">
        <v>54</v>
      </c>
      <c r="J184" t="s">
        <v>6</v>
      </c>
      <c r="K184" t="s">
        <v>7</v>
      </c>
      <c r="L184" s="5">
        <v>579.4</v>
      </c>
      <c r="M184" s="5">
        <v>1.2</v>
      </c>
      <c r="P184" t="s">
        <v>267</v>
      </c>
      <c r="Q184" t="s">
        <v>9</v>
      </c>
      <c r="R184" s="3"/>
      <c r="S184" s="5">
        <v>579.4</v>
      </c>
      <c r="T184" s="5">
        <v>1.2</v>
      </c>
      <c r="U184" s="6"/>
      <c r="V184" s="6"/>
      <c r="W184" s="6">
        <v>0.8</v>
      </c>
      <c r="X184" t="s">
        <v>1075</v>
      </c>
      <c r="Y184" s="3"/>
      <c r="Z184" t="s">
        <v>374</v>
      </c>
      <c r="AB184" t="s">
        <v>389</v>
      </c>
      <c r="AG184" t="s">
        <v>390</v>
      </c>
      <c r="AH184" t="s">
        <v>225</v>
      </c>
    </row>
    <row r="185" spans="1:35" x14ac:dyDescent="0.35">
      <c r="A185">
        <v>184</v>
      </c>
      <c r="B185">
        <f>_xlfn.XLOOKUP(C185, csl_deposits!B:B, csl_deposits!A:A, "NA", 0,1)</f>
        <v>77</v>
      </c>
      <c r="C185" t="s">
        <v>871</v>
      </c>
      <c r="D185" t="s">
        <v>378</v>
      </c>
      <c r="E185" t="s">
        <v>1184</v>
      </c>
      <c r="F185" t="s">
        <v>1033</v>
      </c>
      <c r="G185" t="s">
        <v>0</v>
      </c>
      <c r="H185" t="s">
        <v>1185</v>
      </c>
      <c r="I185" t="s">
        <v>24</v>
      </c>
      <c r="J185" t="s">
        <v>0</v>
      </c>
      <c r="K185" t="s">
        <v>7</v>
      </c>
      <c r="L185" s="5">
        <v>592.67999999999995</v>
      </c>
      <c r="M185" s="5">
        <v>0.12</v>
      </c>
      <c r="P185" t="s">
        <v>32</v>
      </c>
      <c r="Q185" t="s">
        <v>25</v>
      </c>
      <c r="R185" s="3"/>
      <c r="S185" s="5">
        <v>592.67999999999995</v>
      </c>
      <c r="T185" s="5">
        <v>0.12</v>
      </c>
      <c r="U185" s="6"/>
      <c r="V185" s="6"/>
      <c r="W185" s="6">
        <v>0.9</v>
      </c>
      <c r="X185" t="s">
        <v>1048</v>
      </c>
      <c r="Y185" s="3"/>
      <c r="Z185" t="s">
        <v>380</v>
      </c>
      <c r="AE185" t="s">
        <v>381</v>
      </c>
      <c r="AG185" t="s">
        <v>225</v>
      </c>
    </row>
    <row r="186" spans="1:35" x14ac:dyDescent="0.35">
      <c r="A186">
        <v>185</v>
      </c>
      <c r="B186">
        <f>_xlfn.XLOOKUP(C186, csl_deposits!B:B, csl_deposits!A:A, "NA", 0,1)</f>
        <v>77</v>
      </c>
      <c r="C186" t="s">
        <v>871</v>
      </c>
      <c r="D186" t="s">
        <v>228</v>
      </c>
      <c r="E186" t="s">
        <v>1184</v>
      </c>
      <c r="F186" t="s">
        <v>1273</v>
      </c>
      <c r="G186" t="s">
        <v>0</v>
      </c>
      <c r="H186" t="s">
        <v>1185</v>
      </c>
      <c r="I186" t="s">
        <v>223</v>
      </c>
      <c r="J186" t="s">
        <v>13</v>
      </c>
      <c r="K186" t="s">
        <v>7</v>
      </c>
      <c r="L186" s="5">
        <v>593.12</v>
      </c>
      <c r="M186" s="5">
        <v>0.14000000000000001</v>
      </c>
      <c r="P186" t="s">
        <v>32</v>
      </c>
      <c r="Q186" t="s">
        <v>9</v>
      </c>
      <c r="R186" s="3"/>
      <c r="S186" s="5">
        <v>593.12</v>
      </c>
      <c r="T186" s="5">
        <v>0.14000000000000001</v>
      </c>
      <c r="U186" s="6"/>
      <c r="V186" s="6"/>
      <c r="W186" s="6"/>
      <c r="X186" t="s">
        <v>1049</v>
      </c>
      <c r="Y186" s="3"/>
      <c r="AC186" t="s">
        <v>230</v>
      </c>
      <c r="AG186" t="s">
        <v>225</v>
      </c>
    </row>
    <row r="187" spans="1:35" x14ac:dyDescent="0.35">
      <c r="A187">
        <v>186</v>
      </c>
      <c r="B187">
        <f>_xlfn.XLOOKUP(C187, csl_deposits!B:B, csl_deposits!A:A, "NA", 0,1)</f>
        <v>77</v>
      </c>
      <c r="C187" t="s">
        <v>871</v>
      </c>
      <c r="D187" t="s">
        <v>382</v>
      </c>
      <c r="E187" t="s">
        <v>1184</v>
      </c>
      <c r="F187" t="s">
        <v>1033</v>
      </c>
      <c r="G187" t="s">
        <v>0</v>
      </c>
      <c r="H187" t="s">
        <v>1185</v>
      </c>
      <c r="I187" t="s">
        <v>24</v>
      </c>
      <c r="J187" t="s">
        <v>0</v>
      </c>
      <c r="K187" t="s">
        <v>7</v>
      </c>
      <c r="L187" s="5">
        <v>592.30999999999995</v>
      </c>
      <c r="M187" s="5">
        <v>0.18</v>
      </c>
      <c r="P187" t="s">
        <v>32</v>
      </c>
      <c r="Q187" t="s">
        <v>25</v>
      </c>
      <c r="R187" s="3"/>
      <c r="S187" s="5">
        <v>592.30999999999995</v>
      </c>
      <c r="T187" s="5">
        <v>0.18</v>
      </c>
      <c r="U187" s="6"/>
      <c r="V187" s="6"/>
      <c r="W187" s="6"/>
      <c r="X187" t="s">
        <v>1050</v>
      </c>
      <c r="Y187" s="3"/>
      <c r="Z187" t="s">
        <v>380</v>
      </c>
      <c r="AE187" t="s">
        <v>381</v>
      </c>
      <c r="AG187" t="s">
        <v>225</v>
      </c>
    </row>
    <row r="188" spans="1:35" x14ac:dyDescent="0.35">
      <c r="A188">
        <v>187</v>
      </c>
      <c r="B188">
        <f>_xlfn.XLOOKUP(C188, csl_deposits!B:B, csl_deposits!A:A, "NA", 0,1)</f>
        <v>77</v>
      </c>
      <c r="C188" t="s">
        <v>871</v>
      </c>
      <c r="D188" t="s">
        <v>384</v>
      </c>
      <c r="E188" t="s">
        <v>1184</v>
      </c>
      <c r="F188" t="s">
        <v>1033</v>
      </c>
      <c r="G188" t="s">
        <v>0</v>
      </c>
      <c r="H188" t="s">
        <v>1185</v>
      </c>
      <c r="I188" t="s">
        <v>24</v>
      </c>
      <c r="J188" t="s">
        <v>0</v>
      </c>
      <c r="K188" t="s">
        <v>7</v>
      </c>
      <c r="L188" s="5">
        <v>592.84</v>
      </c>
      <c r="M188" s="5">
        <v>0.17</v>
      </c>
      <c r="P188" t="s">
        <v>32</v>
      </c>
      <c r="Q188" t="s">
        <v>25</v>
      </c>
      <c r="R188" s="3"/>
      <c r="S188" s="5">
        <v>592.84</v>
      </c>
      <c r="T188" s="5">
        <v>0.17</v>
      </c>
      <c r="U188" s="6"/>
      <c r="V188" s="6"/>
      <c r="W188" s="6"/>
      <c r="X188" t="s">
        <v>1052</v>
      </c>
      <c r="Y188" s="3"/>
      <c r="Z188" t="s">
        <v>380</v>
      </c>
      <c r="AE188" t="s">
        <v>381</v>
      </c>
      <c r="AG188" t="s">
        <v>225</v>
      </c>
    </row>
    <row r="189" spans="1:35" x14ac:dyDescent="0.35">
      <c r="A189">
        <v>188</v>
      </c>
      <c r="B189">
        <f>_xlfn.XLOOKUP(C189, csl_deposits!B:B, csl_deposits!A:A, "NA", 0,1)</f>
        <v>77</v>
      </c>
      <c r="C189" t="s">
        <v>871</v>
      </c>
      <c r="D189" t="s">
        <v>385</v>
      </c>
      <c r="E189" t="s">
        <v>1184</v>
      </c>
      <c r="F189" t="s">
        <v>1066</v>
      </c>
      <c r="G189" t="s">
        <v>0</v>
      </c>
      <c r="H189" t="s">
        <v>1185</v>
      </c>
      <c r="I189" t="s">
        <v>386</v>
      </c>
      <c r="J189" t="s">
        <v>13</v>
      </c>
      <c r="K189" t="s">
        <v>7</v>
      </c>
      <c r="L189">
        <v>606</v>
      </c>
      <c r="M189">
        <v>4</v>
      </c>
      <c r="P189" t="s">
        <v>71</v>
      </c>
      <c r="Q189" t="s">
        <v>9</v>
      </c>
      <c r="S189">
        <v>606</v>
      </c>
      <c r="T189">
        <v>4</v>
      </c>
      <c r="W189">
        <v>1.03</v>
      </c>
      <c r="X189" t="s">
        <v>1065</v>
      </c>
      <c r="Y189" s="3"/>
      <c r="Z189" t="s">
        <v>387</v>
      </c>
      <c r="AG189" t="s">
        <v>319</v>
      </c>
      <c r="AH189" t="s">
        <v>225</v>
      </c>
    </row>
    <row r="190" spans="1:35" x14ac:dyDescent="0.35">
      <c r="A190">
        <v>189</v>
      </c>
      <c r="B190">
        <f>_xlfn.XLOOKUP(C190, csl_deposits!B:B, csl_deposits!A:A, "NA", 0,1)</f>
        <v>78</v>
      </c>
      <c r="C190" t="s">
        <v>877</v>
      </c>
      <c r="E190" t="s">
        <v>1190</v>
      </c>
      <c r="F190" t="s">
        <v>1330</v>
      </c>
      <c r="G190" t="s">
        <v>1</v>
      </c>
      <c r="H190" t="s">
        <v>1191</v>
      </c>
      <c r="J190" t="s">
        <v>1</v>
      </c>
      <c r="L190">
        <v>538.79999999999995</v>
      </c>
      <c r="Z190" t="s">
        <v>398</v>
      </c>
      <c r="AB190" t="s">
        <v>399</v>
      </c>
      <c r="AG190" t="s">
        <v>396</v>
      </c>
    </row>
    <row r="191" spans="1:35" x14ac:dyDescent="0.35">
      <c r="A191">
        <v>190</v>
      </c>
      <c r="B191">
        <f>_xlfn.XLOOKUP(C191, csl_deposits!B:B, csl_deposits!A:A, "NA", 0,1)</f>
        <v>78</v>
      </c>
      <c r="C191" t="s">
        <v>877</v>
      </c>
      <c r="D191" t="s">
        <v>397</v>
      </c>
      <c r="E191" t="s">
        <v>1190</v>
      </c>
      <c r="F191" t="s">
        <v>1329</v>
      </c>
      <c r="G191" t="s">
        <v>1</v>
      </c>
      <c r="H191" t="s">
        <v>1185</v>
      </c>
      <c r="I191" t="s">
        <v>332</v>
      </c>
      <c r="J191" t="s">
        <v>13</v>
      </c>
      <c r="K191" t="s">
        <v>7</v>
      </c>
      <c r="L191">
        <v>547</v>
      </c>
      <c r="M191">
        <v>2</v>
      </c>
      <c r="P191" t="s">
        <v>125</v>
      </c>
      <c r="Q191" t="s">
        <v>9</v>
      </c>
      <c r="S191">
        <v>547</v>
      </c>
      <c r="T191">
        <v>2</v>
      </c>
      <c r="W191">
        <v>0.55000000000000004</v>
      </c>
      <c r="X191" t="s">
        <v>1328</v>
      </c>
      <c r="Z191" t="s">
        <v>398</v>
      </c>
      <c r="AB191" t="s">
        <v>399</v>
      </c>
      <c r="AC191" t="s">
        <v>400</v>
      </c>
      <c r="AG191" t="s">
        <v>401</v>
      </c>
      <c r="AH191" t="s">
        <v>396</v>
      </c>
      <c r="AI191" t="s">
        <v>402</v>
      </c>
    </row>
    <row r="192" spans="1:35" x14ac:dyDescent="0.35">
      <c r="A192">
        <v>191</v>
      </c>
      <c r="B192">
        <f>_xlfn.XLOOKUP(C192, csl_deposits!B:B, csl_deposits!A:A, "NA", 0,1)</f>
        <v>78</v>
      </c>
      <c r="C192" t="s">
        <v>877</v>
      </c>
      <c r="D192" t="s">
        <v>392</v>
      </c>
      <c r="E192" t="s">
        <v>1184</v>
      </c>
      <c r="F192" t="s">
        <v>1327</v>
      </c>
      <c r="G192" t="s">
        <v>0</v>
      </c>
      <c r="H192" t="s">
        <v>1185</v>
      </c>
      <c r="I192" t="s">
        <v>393</v>
      </c>
      <c r="J192" t="s">
        <v>13</v>
      </c>
      <c r="K192" t="s">
        <v>7</v>
      </c>
      <c r="L192">
        <v>554</v>
      </c>
      <c r="M192">
        <v>15</v>
      </c>
      <c r="P192" t="s">
        <v>71</v>
      </c>
      <c r="Q192" t="s">
        <v>9</v>
      </c>
      <c r="S192">
        <v>554</v>
      </c>
      <c r="T192">
        <v>15</v>
      </c>
      <c r="W192">
        <v>0.41</v>
      </c>
      <c r="X192" t="s">
        <v>1326</v>
      </c>
      <c r="Y192" s="3"/>
      <c r="AB192" t="s">
        <v>394</v>
      </c>
      <c r="AG192" t="s">
        <v>395</v>
      </c>
      <c r="AH192" t="s">
        <v>396</v>
      </c>
    </row>
    <row r="193" spans="1:33" x14ac:dyDescent="0.35">
      <c r="A193">
        <v>192</v>
      </c>
      <c r="B193">
        <f>_xlfn.XLOOKUP(C193, csl_deposits!B:B, csl_deposits!A:A, "NA", 0,1)</f>
        <v>79</v>
      </c>
      <c r="C193" t="s">
        <v>403</v>
      </c>
      <c r="D193" t="s">
        <v>404</v>
      </c>
      <c r="E193" t="s">
        <v>1190</v>
      </c>
      <c r="F193" t="s">
        <v>1014</v>
      </c>
      <c r="G193" t="s">
        <v>1</v>
      </c>
      <c r="H193" t="s">
        <v>1185</v>
      </c>
      <c r="I193" t="s">
        <v>88</v>
      </c>
      <c r="J193" t="s">
        <v>13</v>
      </c>
      <c r="K193" t="s">
        <v>7</v>
      </c>
      <c r="L193" s="5">
        <v>579.24</v>
      </c>
      <c r="M193">
        <v>0.69</v>
      </c>
      <c r="P193" t="s">
        <v>32</v>
      </c>
      <c r="Q193" t="s">
        <v>9</v>
      </c>
      <c r="R193" s="3" t="s">
        <v>406</v>
      </c>
      <c r="S193" s="5">
        <v>579.24</v>
      </c>
      <c r="T193" s="5">
        <v>0.17</v>
      </c>
      <c r="U193">
        <v>0.3</v>
      </c>
      <c r="V193">
        <v>0.69</v>
      </c>
      <c r="W193">
        <v>1.3</v>
      </c>
      <c r="X193" t="s">
        <v>1015</v>
      </c>
      <c r="Y193" s="3"/>
      <c r="Z193" t="s">
        <v>407</v>
      </c>
      <c r="AB193" t="s">
        <v>408</v>
      </c>
      <c r="AG193" t="s">
        <v>138</v>
      </c>
    </row>
    <row r="194" spans="1:33" x14ac:dyDescent="0.35">
      <c r="A194">
        <v>193</v>
      </c>
      <c r="B194">
        <f>_xlfn.XLOOKUP(C194, csl_deposits!B:B, csl_deposits!A:A, "NA", 0,1)</f>
        <v>79</v>
      </c>
      <c r="C194" t="s">
        <v>403</v>
      </c>
      <c r="D194" t="s">
        <v>411</v>
      </c>
      <c r="E194" t="s">
        <v>1184</v>
      </c>
      <c r="F194" t="s">
        <v>1014</v>
      </c>
      <c r="G194" t="s">
        <v>0</v>
      </c>
      <c r="H194" t="s">
        <v>1185</v>
      </c>
      <c r="I194" t="s">
        <v>88</v>
      </c>
      <c r="J194" t="s">
        <v>13</v>
      </c>
      <c r="K194" t="s">
        <v>7</v>
      </c>
      <c r="L194" s="5">
        <v>579.63</v>
      </c>
      <c r="M194">
        <v>0.68</v>
      </c>
      <c r="P194" t="s">
        <v>32</v>
      </c>
      <c r="Q194" t="s">
        <v>9</v>
      </c>
      <c r="R194" s="3" t="s">
        <v>412</v>
      </c>
      <c r="S194" s="5">
        <v>579.63</v>
      </c>
      <c r="T194" s="5">
        <v>0.15</v>
      </c>
      <c r="U194">
        <v>0.28999999999999998</v>
      </c>
      <c r="V194">
        <v>0.68</v>
      </c>
      <c r="W194">
        <v>1.7999999999999999E-2</v>
      </c>
      <c r="X194" t="s">
        <v>1017</v>
      </c>
      <c r="Y194" s="3"/>
      <c r="Z194" t="s">
        <v>407</v>
      </c>
      <c r="AB194" t="s">
        <v>408</v>
      </c>
      <c r="AG194" t="s">
        <v>138</v>
      </c>
    </row>
    <row r="195" spans="1:33" x14ac:dyDescent="0.35">
      <c r="A195">
        <v>194</v>
      </c>
      <c r="B195">
        <f>_xlfn.XLOOKUP(C195, csl_deposits!B:B, csl_deposits!A:A, "NA", 0,1)</f>
        <v>79</v>
      </c>
      <c r="C195" t="s">
        <v>403</v>
      </c>
      <c r="D195" t="s">
        <v>409</v>
      </c>
      <c r="E195" t="s">
        <v>1188</v>
      </c>
      <c r="F195" t="s">
        <v>1014</v>
      </c>
      <c r="G195" t="s">
        <v>0</v>
      </c>
      <c r="H195" t="s">
        <v>1185</v>
      </c>
      <c r="I195" t="s">
        <v>24</v>
      </c>
      <c r="J195" t="s">
        <v>0</v>
      </c>
      <c r="K195" t="s">
        <v>7</v>
      </c>
      <c r="L195" s="5">
        <v>579.35</v>
      </c>
      <c r="M195">
        <v>0.75</v>
      </c>
      <c r="P195" t="s">
        <v>32</v>
      </c>
      <c r="Q195" t="s">
        <v>25</v>
      </c>
      <c r="R195" s="3" t="s">
        <v>410</v>
      </c>
      <c r="S195" s="5">
        <v>579.35</v>
      </c>
      <c r="T195" s="5">
        <v>0.33</v>
      </c>
      <c r="U195">
        <v>0.42</v>
      </c>
      <c r="V195">
        <v>0.75</v>
      </c>
      <c r="W195">
        <v>0.73</v>
      </c>
      <c r="X195" t="s">
        <v>1016</v>
      </c>
      <c r="Y195" s="3"/>
      <c r="Z195" t="s">
        <v>407</v>
      </c>
      <c r="AB195" t="s">
        <v>408</v>
      </c>
      <c r="AE195" t="s">
        <v>403</v>
      </c>
      <c r="AF195" t="s">
        <v>920</v>
      </c>
      <c r="AG195" t="s">
        <v>138</v>
      </c>
    </row>
    <row r="196" spans="1:33" x14ac:dyDescent="0.35">
      <c r="A196">
        <v>195</v>
      </c>
      <c r="B196">
        <f>_xlfn.XLOOKUP(C196, csl_deposits!B:B, csl_deposits!A:A, "NA", 0,1)</f>
        <v>81</v>
      </c>
      <c r="C196" t="s">
        <v>884</v>
      </c>
      <c r="E196" t="s">
        <v>1188</v>
      </c>
      <c r="F196" t="s">
        <v>1335</v>
      </c>
      <c r="G196" t="s">
        <v>0</v>
      </c>
      <c r="H196" t="s">
        <v>1022</v>
      </c>
      <c r="I196" t="s">
        <v>28</v>
      </c>
      <c r="J196" t="s">
        <v>0</v>
      </c>
      <c r="K196" t="s">
        <v>1198</v>
      </c>
      <c r="L196">
        <v>545.5</v>
      </c>
      <c r="Z196" t="s">
        <v>414</v>
      </c>
      <c r="AA196" t="s">
        <v>421</v>
      </c>
      <c r="AB196" t="s">
        <v>422</v>
      </c>
      <c r="AC196" t="s">
        <v>423</v>
      </c>
      <c r="AD196" t="s">
        <v>424</v>
      </c>
      <c r="AG196" t="s">
        <v>1336</v>
      </c>
    </row>
    <row r="197" spans="1:33" x14ac:dyDescent="0.35">
      <c r="A197">
        <v>196</v>
      </c>
      <c r="B197">
        <f>_xlfn.XLOOKUP(C197, csl_deposits!B:B, csl_deposits!A:A, "NA", 0,1)</f>
        <v>81</v>
      </c>
      <c r="C197" t="s">
        <v>884</v>
      </c>
      <c r="D197" t="s">
        <v>420</v>
      </c>
      <c r="E197" t="s">
        <v>1190</v>
      </c>
      <c r="F197" t="s">
        <v>1334</v>
      </c>
      <c r="G197" t="s">
        <v>1</v>
      </c>
      <c r="H197" t="s">
        <v>1185</v>
      </c>
      <c r="I197" t="s">
        <v>88</v>
      </c>
      <c r="J197" t="s">
        <v>13</v>
      </c>
      <c r="K197" t="s">
        <v>7</v>
      </c>
      <c r="L197">
        <v>545.27</v>
      </c>
      <c r="M197">
        <v>0.11</v>
      </c>
      <c r="P197" t="s">
        <v>32</v>
      </c>
      <c r="Q197" t="s">
        <v>9</v>
      </c>
      <c r="S197">
        <v>545.27</v>
      </c>
      <c r="T197">
        <v>0.11</v>
      </c>
      <c r="U197">
        <v>0.18</v>
      </c>
      <c r="V197">
        <v>0.31</v>
      </c>
      <c r="W197">
        <v>0.63</v>
      </c>
      <c r="X197" t="s">
        <v>1333</v>
      </c>
      <c r="Z197" t="s">
        <v>414</v>
      </c>
      <c r="AA197" t="s">
        <v>421</v>
      </c>
      <c r="AB197" t="s">
        <v>422</v>
      </c>
      <c r="AC197" t="s">
        <v>423</v>
      </c>
      <c r="AD197" t="s">
        <v>424</v>
      </c>
      <c r="AG197" t="s">
        <v>425</v>
      </c>
    </row>
    <row r="198" spans="1:33" x14ac:dyDescent="0.35">
      <c r="A198">
        <v>197</v>
      </c>
      <c r="B198">
        <f>_xlfn.XLOOKUP(C198, csl_deposits!B:B, csl_deposits!A:A, "NA", 0,1)</f>
        <v>81</v>
      </c>
      <c r="C198" t="s">
        <v>884</v>
      </c>
      <c r="D198" t="s">
        <v>413</v>
      </c>
      <c r="E198" t="s">
        <v>1184</v>
      </c>
      <c r="F198" t="s">
        <v>1332</v>
      </c>
      <c r="G198" t="s">
        <v>0</v>
      </c>
      <c r="H198" t="s">
        <v>1185</v>
      </c>
      <c r="I198" t="s">
        <v>88</v>
      </c>
      <c r="J198" t="s">
        <v>13</v>
      </c>
      <c r="K198" t="s">
        <v>7</v>
      </c>
      <c r="L198">
        <v>547.36</v>
      </c>
      <c r="M198">
        <v>0.23</v>
      </c>
      <c r="P198" t="s">
        <v>8</v>
      </c>
      <c r="Q198" t="s">
        <v>9</v>
      </c>
      <c r="S198">
        <v>547.36</v>
      </c>
      <c r="T198">
        <v>0.23</v>
      </c>
      <c r="U198">
        <v>0.31</v>
      </c>
      <c r="V198">
        <v>0.91</v>
      </c>
      <c r="W198">
        <v>1.4</v>
      </c>
      <c r="X198" t="s">
        <v>1331</v>
      </c>
      <c r="Z198" t="s">
        <v>414</v>
      </c>
      <c r="AA198" t="s">
        <v>415</v>
      </c>
      <c r="AB198" t="s">
        <v>416</v>
      </c>
      <c r="AC198" t="s">
        <v>417</v>
      </c>
      <c r="AD198" t="s">
        <v>418</v>
      </c>
      <c r="AG198" t="s">
        <v>419</v>
      </c>
    </row>
    <row r="199" spans="1:33" x14ac:dyDescent="0.35">
      <c r="A199">
        <v>198</v>
      </c>
      <c r="B199">
        <f>_xlfn.XLOOKUP(C199, csl_deposits!B:B, csl_deposits!A:A, "NA", 0,1)</f>
        <v>85</v>
      </c>
      <c r="C199" t="s">
        <v>900</v>
      </c>
      <c r="E199" t="s">
        <v>1190</v>
      </c>
      <c r="F199" t="s">
        <v>1521</v>
      </c>
      <c r="G199" t="s">
        <v>1</v>
      </c>
      <c r="H199" t="s">
        <v>1191</v>
      </c>
      <c r="J199" t="s">
        <v>2</v>
      </c>
      <c r="L199">
        <v>521</v>
      </c>
      <c r="AB199" t="s">
        <v>1522</v>
      </c>
      <c r="AF199" t="s">
        <v>1524</v>
      </c>
      <c r="AG199" t="s">
        <v>429</v>
      </c>
    </row>
    <row r="200" spans="1:33" x14ac:dyDescent="0.35">
      <c r="A200">
        <v>199</v>
      </c>
      <c r="B200">
        <f>_xlfn.XLOOKUP(C200, csl_deposits!B:B, csl_deposits!A:A, "NA", 0,1)</f>
        <v>85</v>
      </c>
      <c r="C200" t="s">
        <v>900</v>
      </c>
      <c r="E200" t="s">
        <v>1190</v>
      </c>
      <c r="F200" t="s">
        <v>1521</v>
      </c>
      <c r="G200" t="s">
        <v>1</v>
      </c>
      <c r="H200" t="s">
        <v>1191</v>
      </c>
      <c r="J200" t="s">
        <v>2</v>
      </c>
      <c r="L200">
        <v>521</v>
      </c>
      <c r="AB200" t="s">
        <v>1522</v>
      </c>
      <c r="AF200" t="s">
        <v>1523</v>
      </c>
      <c r="AG200" t="s">
        <v>429</v>
      </c>
    </row>
    <row r="201" spans="1:33" x14ac:dyDescent="0.35">
      <c r="A201">
        <v>200</v>
      </c>
      <c r="B201">
        <f>_xlfn.XLOOKUP(C201, csl_deposits!B:B, csl_deposits!A:A, "NA", 0,1)</f>
        <v>85</v>
      </c>
      <c r="C201" t="s">
        <v>900</v>
      </c>
      <c r="D201" t="s">
        <v>426</v>
      </c>
      <c r="E201" t="s">
        <v>1190</v>
      </c>
      <c r="F201" t="s">
        <v>1338</v>
      </c>
      <c r="G201" t="s">
        <v>1</v>
      </c>
      <c r="H201" t="s">
        <v>1185</v>
      </c>
      <c r="I201" t="s">
        <v>79</v>
      </c>
      <c r="J201" t="s">
        <v>0</v>
      </c>
      <c r="K201" t="s">
        <v>7</v>
      </c>
      <c r="L201">
        <v>561.9</v>
      </c>
      <c r="M201">
        <v>4.8</v>
      </c>
      <c r="P201" t="s">
        <v>14</v>
      </c>
      <c r="Q201" t="s">
        <v>25</v>
      </c>
      <c r="S201">
        <v>561.9</v>
      </c>
      <c r="T201">
        <v>4.8</v>
      </c>
      <c r="X201" t="s">
        <v>1519</v>
      </c>
      <c r="AB201" t="s">
        <v>428</v>
      </c>
      <c r="AG201" t="s">
        <v>429</v>
      </c>
    </row>
    <row r="202" spans="1:33" x14ac:dyDescent="0.35">
      <c r="A202">
        <v>201</v>
      </c>
      <c r="B202">
        <f>_xlfn.XLOOKUP(C202, csl_deposits!B:B, csl_deposits!A:A, "NA", 0,1)</f>
        <v>85</v>
      </c>
      <c r="C202" t="s">
        <v>900</v>
      </c>
      <c r="D202" t="s">
        <v>426</v>
      </c>
      <c r="E202" t="s">
        <v>1190</v>
      </c>
      <c r="F202" t="s">
        <v>1338</v>
      </c>
      <c r="H202" t="s">
        <v>1185</v>
      </c>
      <c r="I202" t="s">
        <v>79</v>
      </c>
      <c r="J202" t="s">
        <v>0</v>
      </c>
      <c r="K202" t="s">
        <v>7</v>
      </c>
      <c r="L202">
        <v>528.20000000000005</v>
      </c>
      <c r="M202">
        <v>6.1</v>
      </c>
      <c r="P202" t="s">
        <v>14</v>
      </c>
      <c r="Q202" t="s">
        <v>25</v>
      </c>
      <c r="S202">
        <v>528.20000000000005</v>
      </c>
      <c r="T202">
        <v>6.1</v>
      </c>
      <c r="X202" t="s">
        <v>1337</v>
      </c>
      <c r="Y202" s="3"/>
      <c r="AB202" t="s">
        <v>428</v>
      </c>
      <c r="AG202" t="s">
        <v>429</v>
      </c>
    </row>
    <row r="203" spans="1:33" x14ac:dyDescent="0.35">
      <c r="A203">
        <v>202</v>
      </c>
      <c r="B203">
        <f>_xlfn.XLOOKUP(C203, csl_deposits!B:B, csl_deposits!A:A, "NA", 0,1)</f>
        <v>85</v>
      </c>
      <c r="C203" t="s">
        <v>900</v>
      </c>
      <c r="D203" t="s">
        <v>430</v>
      </c>
      <c r="E203" t="s">
        <v>1190</v>
      </c>
      <c r="F203" t="s">
        <v>1338</v>
      </c>
      <c r="H203" t="s">
        <v>1185</v>
      </c>
      <c r="I203" t="s">
        <v>79</v>
      </c>
      <c r="J203" t="s">
        <v>0</v>
      </c>
      <c r="K203" t="s">
        <v>7</v>
      </c>
      <c r="L203">
        <v>559</v>
      </c>
      <c r="M203">
        <v>10</v>
      </c>
      <c r="P203" t="s">
        <v>14</v>
      </c>
      <c r="Q203" t="s">
        <v>25</v>
      </c>
      <c r="S203">
        <v>559</v>
      </c>
      <c r="T203">
        <v>10</v>
      </c>
      <c r="X203" t="s">
        <v>1337</v>
      </c>
      <c r="Y203" s="3"/>
      <c r="AB203" t="s">
        <v>428</v>
      </c>
      <c r="AG203" t="s">
        <v>429</v>
      </c>
    </row>
    <row r="204" spans="1:33" x14ac:dyDescent="0.35">
      <c r="A204">
        <v>203</v>
      </c>
      <c r="B204">
        <f>_xlfn.XLOOKUP(C204, csl_deposits!B:B, csl_deposits!A:A, "NA", 0,1)</f>
        <v>85</v>
      </c>
      <c r="C204" t="s">
        <v>900</v>
      </c>
      <c r="D204" t="s">
        <v>431</v>
      </c>
      <c r="E204" t="s">
        <v>1190</v>
      </c>
      <c r="F204" t="s">
        <v>1339</v>
      </c>
      <c r="H204" t="s">
        <v>1185</v>
      </c>
      <c r="I204" t="s">
        <v>79</v>
      </c>
      <c r="J204" t="s">
        <v>0</v>
      </c>
      <c r="K204" t="s">
        <v>7</v>
      </c>
      <c r="L204">
        <v>570.9</v>
      </c>
      <c r="M204">
        <v>5.9</v>
      </c>
      <c r="P204" t="s">
        <v>14</v>
      </c>
      <c r="Q204" t="s">
        <v>25</v>
      </c>
      <c r="S204">
        <v>570.9</v>
      </c>
      <c r="T204">
        <v>5.9</v>
      </c>
      <c r="X204" t="s">
        <v>1337</v>
      </c>
      <c r="Y204" s="3"/>
      <c r="AB204" t="s">
        <v>433</v>
      </c>
      <c r="AG204" t="s">
        <v>429</v>
      </c>
    </row>
    <row r="205" spans="1:33" x14ac:dyDescent="0.35">
      <c r="A205">
        <v>204</v>
      </c>
      <c r="B205">
        <f>_xlfn.XLOOKUP(C205, csl_deposits!B:B, csl_deposits!A:A, "NA", 0,1)</f>
        <v>85</v>
      </c>
      <c r="C205" t="s">
        <v>900</v>
      </c>
      <c r="D205" t="s">
        <v>434</v>
      </c>
      <c r="E205" t="s">
        <v>1190</v>
      </c>
      <c r="F205" t="s">
        <v>1340</v>
      </c>
      <c r="H205" t="s">
        <v>1185</v>
      </c>
      <c r="I205" t="s">
        <v>79</v>
      </c>
      <c r="J205" t="s">
        <v>0</v>
      </c>
      <c r="K205" t="s">
        <v>7</v>
      </c>
      <c r="L205">
        <v>582</v>
      </c>
      <c r="M205">
        <v>13</v>
      </c>
      <c r="P205" t="s">
        <v>14</v>
      </c>
      <c r="Q205" t="s">
        <v>25</v>
      </c>
      <c r="S205">
        <v>582</v>
      </c>
      <c r="T205">
        <v>13</v>
      </c>
      <c r="X205" t="s">
        <v>1337</v>
      </c>
      <c r="Y205" s="3"/>
      <c r="AB205" t="s">
        <v>435</v>
      </c>
      <c r="AG205" t="s">
        <v>429</v>
      </c>
    </row>
    <row r="206" spans="1:33" x14ac:dyDescent="0.35">
      <c r="A206">
        <v>205</v>
      </c>
      <c r="B206">
        <f>_xlfn.XLOOKUP(C206, csl_deposits!B:B, csl_deposits!A:A, "NA", 0,1)</f>
        <v>85</v>
      </c>
      <c r="C206" t="s">
        <v>900</v>
      </c>
      <c r="D206" t="s">
        <v>436</v>
      </c>
      <c r="E206" t="s">
        <v>1190</v>
      </c>
      <c r="F206" t="s">
        <v>1339</v>
      </c>
      <c r="H206" t="s">
        <v>1185</v>
      </c>
      <c r="I206" t="s">
        <v>79</v>
      </c>
      <c r="J206" t="s">
        <v>0</v>
      </c>
      <c r="K206" t="s">
        <v>7</v>
      </c>
      <c r="L206">
        <v>586</v>
      </c>
      <c r="M206">
        <v>12</v>
      </c>
      <c r="P206" t="s">
        <v>14</v>
      </c>
      <c r="Q206" t="s">
        <v>25</v>
      </c>
      <c r="S206">
        <v>586</v>
      </c>
      <c r="T206">
        <v>12</v>
      </c>
      <c r="X206" t="s">
        <v>1337</v>
      </c>
      <c r="Y206" s="3"/>
      <c r="AB206" t="s">
        <v>433</v>
      </c>
      <c r="AG206" t="s">
        <v>429</v>
      </c>
    </row>
    <row r="207" spans="1:33" x14ac:dyDescent="0.35">
      <c r="A207">
        <v>206</v>
      </c>
      <c r="B207">
        <f>_xlfn.XLOOKUP(C207, csl_deposits!B:B, csl_deposits!A:A, "NA", 0,1)</f>
        <v>85</v>
      </c>
      <c r="C207" t="s">
        <v>900</v>
      </c>
      <c r="D207" t="s">
        <v>441</v>
      </c>
      <c r="E207" t="s">
        <v>1190</v>
      </c>
      <c r="F207" t="s">
        <v>1343</v>
      </c>
      <c r="H207" t="s">
        <v>1185</v>
      </c>
      <c r="I207" t="s">
        <v>442</v>
      </c>
      <c r="J207" t="s">
        <v>0</v>
      </c>
      <c r="K207" t="s">
        <v>7</v>
      </c>
      <c r="L207">
        <v>601.29999999999995</v>
      </c>
      <c r="M207">
        <v>6.4</v>
      </c>
      <c r="P207" t="s">
        <v>14</v>
      </c>
      <c r="Q207" t="s">
        <v>25</v>
      </c>
      <c r="S207">
        <v>601.29999999999995</v>
      </c>
      <c r="T207">
        <v>6.4</v>
      </c>
      <c r="X207" t="s">
        <v>1337</v>
      </c>
      <c r="Y207" s="3"/>
      <c r="AB207" t="s">
        <v>435</v>
      </c>
      <c r="AG207" t="s">
        <v>429</v>
      </c>
    </row>
    <row r="208" spans="1:33" x14ac:dyDescent="0.35">
      <c r="A208">
        <v>207</v>
      </c>
      <c r="B208">
        <f>_xlfn.XLOOKUP(C208, csl_deposits!B:B, csl_deposits!A:A, "NA", 0,1)</f>
        <v>85</v>
      </c>
      <c r="C208" t="s">
        <v>900</v>
      </c>
      <c r="D208" t="s">
        <v>438</v>
      </c>
      <c r="E208" t="s">
        <v>1188</v>
      </c>
      <c r="F208" t="s">
        <v>1341</v>
      </c>
      <c r="G208" t="s">
        <v>0</v>
      </c>
      <c r="H208" t="s">
        <v>1185</v>
      </c>
      <c r="I208" t="s">
        <v>439</v>
      </c>
      <c r="J208" t="s">
        <v>0</v>
      </c>
      <c r="K208" t="s">
        <v>7</v>
      </c>
      <c r="L208">
        <v>591.1</v>
      </c>
      <c r="M208">
        <v>5.6</v>
      </c>
      <c r="P208" t="s">
        <v>14</v>
      </c>
      <c r="Q208" t="s">
        <v>25</v>
      </c>
      <c r="S208">
        <v>591.1</v>
      </c>
      <c r="T208">
        <v>5.6</v>
      </c>
      <c r="X208" t="s">
        <v>1337</v>
      </c>
      <c r="Y208" s="3"/>
      <c r="AB208" t="s">
        <v>435</v>
      </c>
      <c r="AG208" t="s">
        <v>429</v>
      </c>
    </row>
    <row r="209" spans="1:34" x14ac:dyDescent="0.35">
      <c r="A209">
        <v>208</v>
      </c>
      <c r="B209">
        <f>_xlfn.XLOOKUP(C209, csl_deposits!B:B, csl_deposits!A:A, "NA", 0,1)</f>
        <v>85</v>
      </c>
      <c r="C209" t="s">
        <v>900</v>
      </c>
      <c r="D209" t="s">
        <v>440</v>
      </c>
      <c r="E209" t="s">
        <v>1188</v>
      </c>
      <c r="F209" t="s">
        <v>1342</v>
      </c>
      <c r="G209" t="s">
        <v>0</v>
      </c>
      <c r="H209" t="s">
        <v>1185</v>
      </c>
      <c r="I209" t="s">
        <v>61</v>
      </c>
      <c r="J209" t="s">
        <v>0</v>
      </c>
      <c r="K209" t="s">
        <v>7</v>
      </c>
      <c r="L209">
        <v>594.5</v>
      </c>
      <c r="M209">
        <v>6.5</v>
      </c>
      <c r="P209" t="s">
        <v>14</v>
      </c>
      <c r="Q209" t="s">
        <v>25</v>
      </c>
      <c r="S209">
        <v>594.5</v>
      </c>
      <c r="T209">
        <v>6.5</v>
      </c>
      <c r="X209" t="s">
        <v>1337</v>
      </c>
      <c r="Y209" s="3"/>
      <c r="AB209" t="s">
        <v>435</v>
      </c>
      <c r="AG209" t="s">
        <v>429</v>
      </c>
    </row>
    <row r="210" spans="1:34" x14ac:dyDescent="0.35">
      <c r="A210">
        <v>209</v>
      </c>
      <c r="B210">
        <f>_xlfn.XLOOKUP(C210, csl_deposits!B:B, csl_deposits!A:A, "NA", 0,1)</f>
        <v>85</v>
      </c>
      <c r="C210" t="s">
        <v>900</v>
      </c>
      <c r="D210" t="s">
        <v>443</v>
      </c>
      <c r="E210" t="s">
        <v>1188</v>
      </c>
      <c r="F210" t="s">
        <v>1344</v>
      </c>
      <c r="G210" t="s">
        <v>0</v>
      </c>
      <c r="H210" t="s">
        <v>1185</v>
      </c>
      <c r="I210" t="s">
        <v>79</v>
      </c>
      <c r="J210" t="s">
        <v>0</v>
      </c>
      <c r="K210" t="s">
        <v>7</v>
      </c>
      <c r="L210">
        <v>651.4</v>
      </c>
      <c r="M210">
        <v>5.3</v>
      </c>
      <c r="P210" t="s">
        <v>14</v>
      </c>
      <c r="Q210" t="s">
        <v>25</v>
      </c>
      <c r="S210">
        <v>651.4</v>
      </c>
      <c r="T210">
        <v>5.3</v>
      </c>
      <c r="X210" t="s">
        <v>1337</v>
      </c>
      <c r="Y210" s="3"/>
      <c r="AB210" t="s">
        <v>435</v>
      </c>
      <c r="AG210" t="s">
        <v>429</v>
      </c>
    </row>
    <row r="211" spans="1:34" x14ac:dyDescent="0.35">
      <c r="A211">
        <v>210</v>
      </c>
      <c r="B211">
        <f>_xlfn.XLOOKUP(C211, csl_deposits!B:B, csl_deposits!A:A, "NA", 0,1)</f>
        <v>85</v>
      </c>
      <c r="C211" t="s">
        <v>900</v>
      </c>
      <c r="D211" t="s">
        <v>444</v>
      </c>
      <c r="E211" t="s">
        <v>1188</v>
      </c>
      <c r="F211" t="s">
        <v>1344</v>
      </c>
      <c r="G211" t="s">
        <v>0</v>
      </c>
      <c r="H211" t="s">
        <v>1185</v>
      </c>
      <c r="I211" t="s">
        <v>445</v>
      </c>
      <c r="J211" t="s">
        <v>0</v>
      </c>
      <c r="K211" t="s">
        <v>7</v>
      </c>
      <c r="L211">
        <v>728.6</v>
      </c>
      <c r="M211">
        <v>7.8</v>
      </c>
      <c r="P211" t="s">
        <v>14</v>
      </c>
      <c r="Q211" t="s">
        <v>25</v>
      </c>
      <c r="S211">
        <v>728.6</v>
      </c>
      <c r="T211">
        <v>7.8</v>
      </c>
      <c r="X211" t="s">
        <v>1337</v>
      </c>
      <c r="Y211" s="3"/>
      <c r="AB211" t="s">
        <v>435</v>
      </c>
      <c r="AG211" t="s">
        <v>429</v>
      </c>
    </row>
    <row r="212" spans="1:34" x14ac:dyDescent="0.35">
      <c r="A212">
        <v>211</v>
      </c>
      <c r="B212">
        <f>_xlfn.XLOOKUP(C212, csl_deposits!B:B, csl_deposits!A:A, "NA", 0,1)</f>
        <v>87</v>
      </c>
      <c r="C212" t="s">
        <v>904</v>
      </c>
      <c r="E212" t="s">
        <v>1190</v>
      </c>
      <c r="F212" s="18" t="s">
        <v>1345</v>
      </c>
      <c r="G212" t="s">
        <v>1</v>
      </c>
      <c r="H212" t="s">
        <v>1191</v>
      </c>
      <c r="I212" t="s">
        <v>981</v>
      </c>
      <c r="J212" t="s">
        <v>1</v>
      </c>
      <c r="L212">
        <v>538.79999999999995</v>
      </c>
      <c r="Y212" s="3"/>
      <c r="Z212" t="s">
        <v>1346</v>
      </c>
      <c r="AB212" t="s">
        <v>1347</v>
      </c>
      <c r="AF212" t="s">
        <v>1348</v>
      </c>
      <c r="AG212" t="s">
        <v>1090</v>
      </c>
    </row>
    <row r="213" spans="1:34" x14ac:dyDescent="0.35">
      <c r="A213">
        <v>212</v>
      </c>
      <c r="B213">
        <f>_xlfn.XLOOKUP(C213, csl_deposits!B:B, csl_deposits!A:A, "NA", 0,1)</f>
        <v>88</v>
      </c>
      <c r="C213" t="s">
        <v>909</v>
      </c>
      <c r="E213" t="s">
        <v>1190</v>
      </c>
      <c r="F213" t="s">
        <v>1349</v>
      </c>
      <c r="G213" t="s">
        <v>1</v>
      </c>
      <c r="H213" t="s">
        <v>1191</v>
      </c>
      <c r="I213" t="s">
        <v>79</v>
      </c>
      <c r="J213" t="s">
        <v>1</v>
      </c>
      <c r="L213">
        <v>538.79999999999995</v>
      </c>
      <c r="AB213" t="s">
        <v>986</v>
      </c>
      <c r="AD213" t="s">
        <v>1350</v>
      </c>
      <c r="AG213" t="s">
        <v>1259</v>
      </c>
    </row>
    <row r="214" spans="1:34" x14ac:dyDescent="0.35">
      <c r="A214">
        <v>213</v>
      </c>
      <c r="B214">
        <f>_xlfn.XLOOKUP(C214, csl_deposits!B:B, csl_deposits!A:A, "NA", 0,1)</f>
        <v>89</v>
      </c>
      <c r="C214" t="s">
        <v>915</v>
      </c>
      <c r="D214" t="s">
        <v>170</v>
      </c>
      <c r="E214" t="s">
        <v>1190</v>
      </c>
      <c r="F214" t="s">
        <v>1463</v>
      </c>
      <c r="H214" t="s">
        <v>1185</v>
      </c>
      <c r="I214" t="s">
        <v>172</v>
      </c>
      <c r="J214" t="s">
        <v>0</v>
      </c>
      <c r="K214" t="s">
        <v>7</v>
      </c>
      <c r="L214" s="4">
        <v>569.89</v>
      </c>
      <c r="M214" s="4">
        <v>0.17</v>
      </c>
      <c r="P214" t="s">
        <v>32</v>
      </c>
      <c r="Q214" t="s">
        <v>25</v>
      </c>
      <c r="S214" s="4">
        <v>569.89</v>
      </c>
      <c r="T214" s="4">
        <v>0.17</v>
      </c>
      <c r="W214">
        <v>0.21</v>
      </c>
      <c r="X214" t="s">
        <v>1024</v>
      </c>
      <c r="Y214" s="3" t="s">
        <v>1351</v>
      </c>
      <c r="Z214" t="s">
        <v>33</v>
      </c>
      <c r="AB214" s="3" t="s">
        <v>174</v>
      </c>
      <c r="AG214" t="s">
        <v>35</v>
      </c>
      <c r="AH214" t="s">
        <v>37</v>
      </c>
    </row>
    <row r="215" spans="1:34" x14ac:dyDescent="0.35">
      <c r="A215">
        <v>214</v>
      </c>
      <c r="B215">
        <f>_xlfn.XLOOKUP(C215, csl_deposits!B:B, csl_deposits!A:A, "NA", 0,1)</f>
        <v>89</v>
      </c>
      <c r="C215" t="s">
        <v>915</v>
      </c>
      <c r="D215" t="s">
        <v>1462</v>
      </c>
      <c r="E215" t="s">
        <v>1190</v>
      </c>
      <c r="F215" t="s">
        <v>1464</v>
      </c>
      <c r="G215" t="s">
        <v>1</v>
      </c>
      <c r="H215" t="s">
        <v>1185</v>
      </c>
      <c r="I215" t="s">
        <v>31</v>
      </c>
      <c r="J215" t="s">
        <v>13</v>
      </c>
      <c r="K215" t="s">
        <v>7</v>
      </c>
      <c r="L215">
        <v>567</v>
      </c>
      <c r="M215">
        <v>7.8</v>
      </c>
      <c r="P215" t="s">
        <v>71</v>
      </c>
      <c r="Q215" t="s">
        <v>9</v>
      </c>
      <c r="S215">
        <v>567</v>
      </c>
      <c r="T215">
        <v>7.8</v>
      </c>
      <c r="W215">
        <v>0.108</v>
      </c>
      <c r="X215" t="s">
        <v>1465</v>
      </c>
      <c r="Y215" s="3" t="s">
        <v>1466</v>
      </c>
      <c r="Z215" t="s">
        <v>33</v>
      </c>
      <c r="AB215" t="s">
        <v>1467</v>
      </c>
      <c r="AC215" t="s">
        <v>1468</v>
      </c>
      <c r="AG215" t="s">
        <v>1461</v>
      </c>
    </row>
  </sheetData>
  <autoFilter ref="A1:AJ215" xr:uid="{0587580A-52CB-49E5-BD42-E612AC27FD35}"/>
  <conditionalFormatting sqref="A1:XFD1048576">
    <cfRule type="containsBlanks" dxfId="0" priority="8">
      <formula>LEN(TRIM(A1))=0</formula>
    </cfRule>
  </conditionalFormatting>
  <dataValidations count="2">
    <dataValidation type="list" allowBlank="1" showInputMessage="1" showErrorMessage="1" sqref="K2:K24 K99:K205 K207:K1048576 K26:K97" xr:uid="{7B8E4E4A-BD36-4DAC-8D6B-32647AE01523}">
      <formula1>"U-Pb, Pb-Pb, Ar-Ar, K-Ar, Re-Os, Rb-Sr, 13C, 87Sr, NA"</formula1>
    </dataValidation>
    <dataValidation type="list" allowBlank="1" showInputMessage="1" showErrorMessage="1" sqref="I98 F98" xr:uid="{E0997B59-3273-4F25-A4CB-5293BD2441E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F56AFD6-1B00-4726-BE82-44361571D5C3}">
          <x14:formula1>
            <xm:f>references!$B:$B</xm:f>
          </x14:formula1>
          <xm:sqref>AG1:AJ1048576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0FB6B67E79FA45AFAC5519C50F741F" ma:contentTypeVersion="13" ma:contentTypeDescription="Create a new document." ma:contentTypeScope="" ma:versionID="01717c2105b7b83bf80a64e0903734d8">
  <xsd:schema xmlns:xsd="http://www.w3.org/2001/XMLSchema" xmlns:xs="http://www.w3.org/2001/XMLSchema" xmlns:p="http://schemas.microsoft.com/office/2006/metadata/properties" xmlns:ns2="34f7db31-ae1f-4aec-bd4e-9797ed2b4646" xmlns:ns3="6f64dc32-b692-4574-b8ef-663a628521e2" targetNamespace="http://schemas.microsoft.com/office/2006/metadata/properties" ma:root="true" ma:fieldsID="7ce22d48f7aac56f1351f33fc7f5243e" ns2:_="" ns3:_="">
    <xsd:import namespace="34f7db31-ae1f-4aec-bd4e-9797ed2b4646"/>
    <xsd:import namespace="6f64dc32-b692-4574-b8ef-663a628521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f7db31-ae1f-4aec-bd4e-9797ed2b46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4dc32-b692-4574-b8ef-663a628521e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2402349-50b4-49f3-80ae-3606b94af445}" ma:internalName="TaxCatchAll" ma:showField="CatchAllData" ma:web="6f64dc32-b692-4574-b8ef-663a628521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f64dc32-b692-4574-b8ef-663a628521e2" xsi:nil="true"/>
    <lcf76f155ced4ddcb4097134ff3c332f xmlns="34f7db31-ae1f-4aec-bd4e-9797ed2b464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F69E548-239C-46FA-8439-505D75C94D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f7db31-ae1f-4aec-bd4e-9797ed2b4646"/>
    <ds:schemaRef ds:uri="6f64dc32-b692-4574-b8ef-663a62852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759D896-D0BC-4DB6-8FD9-5EB9EFA82C04}">
  <ds:schemaRefs>
    <ds:schemaRef ds:uri="http://schemas.microsoft.com/office/2006/metadata/properties"/>
    <ds:schemaRef ds:uri="http://schemas.microsoft.com/office/infopath/2007/PartnerControls"/>
    <ds:schemaRef ds:uri="6f64dc32-b692-4574-b8ef-663a628521e2"/>
    <ds:schemaRef ds:uri="34f7db31-ae1f-4aec-bd4e-9797ed2b4646"/>
  </ds:schemaRefs>
</ds:datastoreItem>
</file>

<file path=customXml/itemProps3.xml><?xml version="1.0" encoding="utf-8"?>
<ds:datastoreItem xmlns:ds="http://schemas.openxmlformats.org/officeDocument/2006/customXml" ds:itemID="{23B8518A-F80B-496A-A56B-36CEB767A3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references</vt:lpstr>
      <vt:lpstr>meih_occurrences</vt:lpstr>
      <vt:lpstr>csl_deposits</vt:lpstr>
      <vt:lpstr>csl_age_constraints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2025-01-29T15:35:01Z</dcterms:created>
  <dcterms:modified xsi:type="dcterms:W3CDTF">2026-06-19T15:41:48Z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0x010100200FB6B67E79FA45AFAC5519C50F741F</vt:lpwstr>
  </property>
  <property fmtid="{D5CDD505-2E9C-101B-9397-08002B2CF9AE}" pid="3" name="MediaServiceImageTags">
    <vt:lpwstr/>
  </property>
</Properties>
</file>