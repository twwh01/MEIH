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ofleicester.sharepoint.com/sites/Team_50e7ef44-cf14-4331-9753-a21980019714/Shared Documents/General/Manuscripts &amp; Writing/MS_WongHearing_etal_MEIH/MEIH/data/"/>
    </mc:Choice>
  </mc:AlternateContent>
  <xr:revisionPtr revIDLastSave="177" documentId="8_{116E2482-0728-485E-BDFE-380FBD185C4E}" xr6:coauthVersionLast="47" xr6:coauthVersionMax="47" xr10:uidLastSave="{3D72EA46-4E99-40D0-AC32-1C88BB70576A}"/>
  <bookViews>
    <workbookView xWindow="-28920" yWindow="-2895" windowWidth="29040" windowHeight="15840" activeTab="3" xr2:uid="{5DE8EE72-F8F9-4982-BD2F-826D35F1877B}"/>
  </bookViews>
  <sheets>
    <sheet name="references" sheetId="6" r:id="rId1"/>
    <sheet name="meih_occurrences" sheetId="5" r:id="rId2"/>
    <sheet name="csl_deposits" sheetId="7" r:id="rId3"/>
    <sheet name="csl_age_constraints" sheetId="9" r:id="rId4"/>
  </sheets>
  <externalReferences>
    <externalReference r:id="rId5"/>
  </externalReferences>
  <definedNames>
    <definedName name="_xlnm._FilterDatabase" localSheetId="3" hidden="1">csl_age_constraints!$A$1:$AJ$215</definedName>
    <definedName name="_xlnm._FilterDatabase" localSheetId="2" hidden="1">csl_deposits!$A$1:$CN$92</definedName>
    <definedName name="_xlnm._FilterDatabase" localSheetId="1" hidden="1">meih_occurrences!$A$1:$AB$56</definedName>
    <definedName name="_xlnm._FilterDatabase" localSheetId="0" hidden="1">references!$A$1:$D$122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8" i="5" l="1"/>
  <c r="B59" i="5"/>
  <c r="B60" i="5"/>
  <c r="B57" i="5"/>
  <c r="F51" i="7" l="1"/>
  <c r="G51" i="7"/>
  <c r="F52" i="7"/>
  <c r="G52" i="7"/>
  <c r="F53" i="7"/>
  <c r="G53" i="7"/>
  <c r="F50" i="7"/>
  <c r="G50" i="7"/>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2" i="5"/>
  <c r="B2" i="9" l="1"/>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alcChain>
</file>

<file path=xl/sharedStrings.xml><?xml version="1.0" encoding="utf-8"?>
<sst xmlns="http://schemas.openxmlformats.org/spreadsheetml/2006/main" count="5717" uniqueCount="1677">
  <si>
    <t>maximum</t>
  </si>
  <si>
    <t>minimum</t>
  </si>
  <si>
    <t>deposition</t>
  </si>
  <si>
    <t>WP045</t>
  </si>
  <si>
    <t>Antaq Basin</t>
  </si>
  <si>
    <t>porphyritic microgranite</t>
  </si>
  <si>
    <t>intrusion</t>
  </si>
  <si>
    <t>U-Pb</t>
  </si>
  <si>
    <t>CA-TIMS</t>
  </si>
  <si>
    <t>igneous zircon</t>
  </si>
  <si>
    <t>Nettle et al 2014</t>
  </si>
  <si>
    <t>WP65</t>
  </si>
  <si>
    <t>pyroclastic tuff</t>
  </si>
  <si>
    <t>eruption</t>
  </si>
  <si>
    <t>LA-ICP-MS</t>
  </si>
  <si>
    <t>Jibalah</t>
  </si>
  <si>
    <t>Rubtayn</t>
  </si>
  <si>
    <t>upper Rubtayn</t>
  </si>
  <si>
    <t>S02-04</t>
  </si>
  <si>
    <t>Muraykhah</t>
  </si>
  <si>
    <t>S02-23</t>
  </si>
  <si>
    <t xml:space="preserve">Interpreted as an inherited zircon date due to stratigraphic incongruence. </t>
  </si>
  <si>
    <t>Chumakov 2009</t>
  </si>
  <si>
    <t>KG21</t>
  </si>
  <si>
    <t>diamictite</t>
  </si>
  <si>
    <t>detrital zircon</t>
  </si>
  <si>
    <t>Djetymtau</t>
  </si>
  <si>
    <t>Rojas-Agramonte et al 2014</t>
  </si>
  <si>
    <t>carbonate</t>
  </si>
  <si>
    <t>Yang et al 2021</t>
  </si>
  <si>
    <t>KOB-26</t>
  </si>
  <si>
    <t>tuff</t>
  </si>
  <si>
    <t>CA-ID-TIMS</t>
  </si>
  <si>
    <t>Volyn</t>
  </si>
  <si>
    <t>Rataychitsy</t>
  </si>
  <si>
    <t>Srodon et al 2023</t>
  </si>
  <si>
    <t>Francovschi et al 2023</t>
  </si>
  <si>
    <t>Francovschi et al 2024</t>
  </si>
  <si>
    <t>KOB-25</t>
  </si>
  <si>
    <t>amphibole</t>
  </si>
  <si>
    <t>Ar-Ar</t>
  </si>
  <si>
    <t>metamorphic amphibole</t>
  </si>
  <si>
    <t>Bakers Bay Suite</t>
  </si>
  <si>
    <t>metagabbro</t>
  </si>
  <si>
    <t>Frimmel &amp; Frank 1998</t>
  </si>
  <si>
    <t>Frimmel 2011a</t>
  </si>
  <si>
    <t>dolostone</t>
  </si>
  <si>
    <t>Chameis</t>
  </si>
  <si>
    <t>Dernburg</t>
  </si>
  <si>
    <t>Sholtzberg</t>
  </si>
  <si>
    <t>Frimmel &amp; Folling 2004</t>
  </si>
  <si>
    <t>Clanzschwitz diamictite</t>
  </si>
  <si>
    <t>Laas1</t>
  </si>
  <si>
    <t>Clanzschwitz</t>
  </si>
  <si>
    <t>granodiorite</t>
  </si>
  <si>
    <t>Laas granodiorite</t>
  </si>
  <si>
    <t>Linnemann et al 2018</t>
  </si>
  <si>
    <t>CL2</t>
  </si>
  <si>
    <t>quartzite</t>
  </si>
  <si>
    <t>Member 2</t>
  </si>
  <si>
    <t>CL1</t>
  </si>
  <si>
    <t>diamictite matrix</t>
  </si>
  <si>
    <t>Member 3</t>
  </si>
  <si>
    <t>Cla1n</t>
  </si>
  <si>
    <t>diamictite clast</t>
  </si>
  <si>
    <t>LG21-17B</t>
  </si>
  <si>
    <t>EPMA</t>
  </si>
  <si>
    <t>detrital monazite</t>
  </si>
  <si>
    <t>Kuhnemann et al 2024</t>
  </si>
  <si>
    <t>Cottons Breccia</t>
  </si>
  <si>
    <t>gabbro</t>
  </si>
  <si>
    <t>SHRIMP</t>
  </si>
  <si>
    <t>Grassy</t>
  </si>
  <si>
    <t>Grimes Intrusive Suite</t>
  </si>
  <si>
    <t>Calver et al 2004</t>
  </si>
  <si>
    <t>Calver &amp; Walter 2000</t>
  </si>
  <si>
    <t>Direen &amp; Jago 2008</t>
  </si>
  <si>
    <t>Calver et al 2013</t>
  </si>
  <si>
    <t>Sample 1 R008184</t>
  </si>
  <si>
    <t>sandstone</t>
  </si>
  <si>
    <t>Sample 2 R008185</t>
  </si>
  <si>
    <t>Sample 3 R008186</t>
  </si>
  <si>
    <t>Sample 4 R008187</t>
  </si>
  <si>
    <t>Robbins Passage</t>
  </si>
  <si>
    <t>rhyodacite</t>
  </si>
  <si>
    <t>Togari</t>
  </si>
  <si>
    <t>Kanunnah</t>
  </si>
  <si>
    <t>Day-1</t>
  </si>
  <si>
    <t>ash bed</t>
  </si>
  <si>
    <t>Dhaiqa</t>
  </si>
  <si>
    <t>Middle Dhaiqa</t>
  </si>
  <si>
    <t>Unit c</t>
  </si>
  <si>
    <t>Dhaiqa diamictite</t>
  </si>
  <si>
    <t>Vickers-Rich et al 2013</t>
  </si>
  <si>
    <t>DY-1_rim</t>
  </si>
  <si>
    <t>Miller et al 2008</t>
  </si>
  <si>
    <t>DY-1_core</t>
  </si>
  <si>
    <t>16JJW-3</t>
  </si>
  <si>
    <t>Doushantuo</t>
  </si>
  <si>
    <t>Miaohe</t>
  </si>
  <si>
    <t>Zhangcunping</t>
  </si>
  <si>
    <t>Wang et al 2020</t>
  </si>
  <si>
    <t>F1404</t>
  </si>
  <si>
    <t>Jiulongwan</t>
  </si>
  <si>
    <t>shale</t>
  </si>
  <si>
    <t>Re-Os</t>
  </si>
  <si>
    <t>Member II</t>
  </si>
  <si>
    <t>Zhu et al 2013</t>
  </si>
  <si>
    <t>Ouyang et al 2019</t>
  </si>
  <si>
    <t>15LZash1</t>
  </si>
  <si>
    <t>SIMS</t>
  </si>
  <si>
    <t>Date originally to constrain Weng'an biota</t>
  </si>
  <si>
    <t>Unit 5</t>
  </si>
  <si>
    <t>Zhou et al 2017</t>
  </si>
  <si>
    <t>18SC25</t>
  </si>
  <si>
    <t>granite</t>
  </si>
  <si>
    <t>Date only published in abstract form.</t>
  </si>
  <si>
    <t>Lamboo Complex</t>
  </si>
  <si>
    <t>Bow River Granite</t>
  </si>
  <si>
    <t>Page &amp; Sun 1994</t>
  </si>
  <si>
    <t>Corkeron 2011</t>
  </si>
  <si>
    <t>dolerite</t>
  </si>
  <si>
    <t>Note possible Pb enrichment either primary or during analysis.</t>
  </si>
  <si>
    <t>Milliwindi dyke</t>
  </si>
  <si>
    <t>Hanley &amp; Wingate 2000</t>
  </si>
  <si>
    <t>TIMS</t>
  </si>
  <si>
    <t>Catoctin</t>
  </si>
  <si>
    <t>Southworth et al 2009</t>
  </si>
  <si>
    <t>Hebert et al 2010</t>
  </si>
  <si>
    <t>Teniagouri</t>
  </si>
  <si>
    <t>Lahondere et al 2005</t>
  </si>
  <si>
    <t>Shields et al 2007</t>
  </si>
  <si>
    <t>Shields-Zhou et al 2011</t>
  </si>
  <si>
    <t>NoP-0.9</t>
  </si>
  <si>
    <t>St Marys</t>
  </si>
  <si>
    <t>E5</t>
  </si>
  <si>
    <t>Conception</t>
  </si>
  <si>
    <t>Drook</t>
  </si>
  <si>
    <t>Pu et al 2016</t>
  </si>
  <si>
    <t>GCI-7.75</t>
  </si>
  <si>
    <t>E3</t>
  </si>
  <si>
    <t>Mall Bay</t>
  </si>
  <si>
    <t>GCI-6.55</t>
  </si>
  <si>
    <t>E4</t>
  </si>
  <si>
    <t>GV2</t>
  </si>
  <si>
    <t>Granville</t>
  </si>
  <si>
    <t>Member 1</t>
  </si>
  <si>
    <t>Linnemann et al 2022</t>
  </si>
  <si>
    <t>GV6</t>
  </si>
  <si>
    <t>Granville Tillite</t>
  </si>
  <si>
    <t>Lower tillite</t>
  </si>
  <si>
    <t>GV16</t>
  </si>
  <si>
    <t>conglomerate</t>
  </si>
  <si>
    <t>conglomerate marker horizon</t>
  </si>
  <si>
    <t>South Stack</t>
  </si>
  <si>
    <t>Collins &amp; Buchan 2004</t>
  </si>
  <si>
    <t>Kawai et al 2008</t>
  </si>
  <si>
    <t>gneiss</t>
  </si>
  <si>
    <t>Rb-Sr</t>
  </si>
  <si>
    <t>wholerock</t>
  </si>
  <si>
    <t>Holland Arms gneiss</t>
  </si>
  <si>
    <t>Beckinsale &amp; Thorpe 1979</t>
  </si>
  <si>
    <t>LLZ519</t>
  </si>
  <si>
    <t>Asanuma et al 2017</t>
  </si>
  <si>
    <t>Tindal 2023</t>
  </si>
  <si>
    <t>2371D</t>
  </si>
  <si>
    <t>andesite</t>
  </si>
  <si>
    <t>Quruqtagh</t>
  </si>
  <si>
    <t>Zhamoketi</t>
  </si>
  <si>
    <t>Xu et al 2009</t>
  </si>
  <si>
    <t>Kaplonosy-3</t>
  </si>
  <si>
    <t>Kaplonosy IG1</t>
  </si>
  <si>
    <t>palaeosol</t>
  </si>
  <si>
    <t>Palaeosol level regionally correlated to the same level as the Slutsky-Kholonevychi diamictite</t>
  </si>
  <si>
    <t>Teremiski</t>
  </si>
  <si>
    <t>Regionally correlated to strata underlying the Slutsk-Kholonevychi diamictite</t>
  </si>
  <si>
    <t>Moh-1</t>
  </si>
  <si>
    <t>bentonite</t>
  </si>
  <si>
    <t>Same bentonite as sample Otaci-1 regionally correlated to strata overlying the Slutsk-Kholonevychi diamictite</t>
  </si>
  <si>
    <t>Mohyliv-Podilskyi</t>
  </si>
  <si>
    <t>Novodnistrovsk</t>
  </si>
  <si>
    <t>Yaryshiv</t>
  </si>
  <si>
    <t>Otaci-1</t>
  </si>
  <si>
    <t>Same bentonite as sample Moh-1 regionally correlated to strata overlying the Slutsk-Kholonevychi diamictite</t>
  </si>
  <si>
    <t>DAM18LA-Dam25-Struha5A+6A</t>
  </si>
  <si>
    <t>Regionally correlated to strata overlying the Slutsk-Kholonevychi diamictite</t>
  </si>
  <si>
    <t>Lyadova-Bernashivka</t>
  </si>
  <si>
    <t>DAM-11</t>
  </si>
  <si>
    <t>mudstone</t>
  </si>
  <si>
    <t>Regionally correlated to strata overlying or possibly syndepositional with the Slutsk-Kholonevychi diamictite</t>
  </si>
  <si>
    <t>Mohyliv</t>
  </si>
  <si>
    <t>Lyadova</t>
  </si>
  <si>
    <t>Sample 4529-3</t>
  </si>
  <si>
    <t>Regionally correlated to deposition simultaneous with the Slutsk-Kholonevychi diamictite</t>
  </si>
  <si>
    <t>Ushytsya</t>
  </si>
  <si>
    <t>Kolky</t>
  </si>
  <si>
    <t>Tashky-20</t>
  </si>
  <si>
    <t>Prihoryn</t>
  </si>
  <si>
    <t>Dam-28</t>
  </si>
  <si>
    <t>turbiditic sandstone</t>
  </si>
  <si>
    <t>Dernashivka</t>
  </si>
  <si>
    <t>Paszkowski et al 2021</t>
  </si>
  <si>
    <t>Putryntsi-4</t>
  </si>
  <si>
    <t>From the Slutsk-Kholonevychi diamictite matrix</t>
  </si>
  <si>
    <t>Slutsk</t>
  </si>
  <si>
    <t>Putryntsi-5</t>
  </si>
  <si>
    <t>Kholonevychi</t>
  </si>
  <si>
    <t>Tayvallich keratophyre</t>
  </si>
  <si>
    <t>keratophyre</t>
  </si>
  <si>
    <t>Argyll</t>
  </si>
  <si>
    <t>Halliday et al 1989</t>
  </si>
  <si>
    <t>Tayvallich Tuff</t>
  </si>
  <si>
    <t>Dempster et al 2002</t>
  </si>
  <si>
    <t>IP 808</t>
  </si>
  <si>
    <t>metavolcanic</t>
  </si>
  <si>
    <t>Votuverava</t>
  </si>
  <si>
    <t>Ribeira</t>
  </si>
  <si>
    <t>metavolcanics</t>
  </si>
  <si>
    <t>Campanha et al 2008</t>
  </si>
  <si>
    <t>F-203</t>
  </si>
  <si>
    <t>Iporanga</t>
  </si>
  <si>
    <t>basal breccia</t>
  </si>
  <si>
    <t>Sample 14DL15</t>
  </si>
  <si>
    <t>ignimbrite</t>
  </si>
  <si>
    <t>Ouarzazate</t>
  </si>
  <si>
    <t>Letsch et al 2018</t>
  </si>
  <si>
    <t>BP13</t>
  </si>
  <si>
    <t>Youbi et al 2020</t>
  </si>
  <si>
    <t>Sample 14DL21</t>
  </si>
  <si>
    <t>Ansra</t>
  </si>
  <si>
    <t>Izdar</t>
  </si>
  <si>
    <t>KN2</t>
  </si>
  <si>
    <t>Kahar</t>
  </si>
  <si>
    <t>Kahar diamictite</t>
  </si>
  <si>
    <t>Etemad-Saeed et al 2016</t>
  </si>
  <si>
    <t>KN1</t>
  </si>
  <si>
    <t>KS1</t>
  </si>
  <si>
    <t>KS2</t>
  </si>
  <si>
    <t>Sample 09-03-15</t>
  </si>
  <si>
    <t>Central Urals</t>
  </si>
  <si>
    <t>unspecified</t>
  </si>
  <si>
    <t>Sylvitsa</t>
  </si>
  <si>
    <t>Perevalok</t>
  </si>
  <si>
    <t>Grazhdankin et al 2011</t>
  </si>
  <si>
    <t>Maslov et al 2013</t>
  </si>
  <si>
    <t>Chumakov et al 2013</t>
  </si>
  <si>
    <t>Serebryanka</t>
  </si>
  <si>
    <t>Sample 11-m-007</t>
  </si>
  <si>
    <t>alkali basalt</t>
  </si>
  <si>
    <t>Tany</t>
  </si>
  <si>
    <t>metabasalt</t>
  </si>
  <si>
    <t>Arsha</t>
  </si>
  <si>
    <t>Puchkov 2010</t>
  </si>
  <si>
    <t>U91</t>
  </si>
  <si>
    <t>Piriapolis</t>
  </si>
  <si>
    <t>syenite</t>
  </si>
  <si>
    <t>Sierra de Animas</t>
  </si>
  <si>
    <t>Bossi et al 1993</t>
  </si>
  <si>
    <t>SA1HO#1</t>
  </si>
  <si>
    <t>Pan de Azucar</t>
  </si>
  <si>
    <t>Oyhantcabal et al 2007</t>
  </si>
  <si>
    <t>NP-116</t>
  </si>
  <si>
    <t>R60-R81</t>
  </si>
  <si>
    <t>Lavalleja</t>
  </si>
  <si>
    <t>Mallmann et al 2007</t>
  </si>
  <si>
    <t>Sample 77-31</t>
  </si>
  <si>
    <t>welded tuff</t>
  </si>
  <si>
    <t>ID-TIMS</t>
  </si>
  <si>
    <t>Harbour Main</t>
  </si>
  <si>
    <t>Weavers Hill tuff</t>
  </si>
  <si>
    <t>Krogh et al 1988</t>
  </si>
  <si>
    <t>PSPC-8</t>
  </si>
  <si>
    <t>Oselok</t>
  </si>
  <si>
    <t>Marnya</t>
  </si>
  <si>
    <t>Priyatkina et al 2018</t>
  </si>
  <si>
    <t>RR90-98</t>
  </si>
  <si>
    <t>Roberston River Igneous Suite</t>
  </si>
  <si>
    <t>Hitt Mountain Alkali Feldspar Syenite</t>
  </si>
  <si>
    <t>Tollo &amp; Aleinikoff 1996</t>
  </si>
  <si>
    <t>Bailey &amp; Peters 1998</t>
  </si>
  <si>
    <t>RRDH-5</t>
  </si>
  <si>
    <t>Battle Mountain Alkali Feldspar Granite</t>
  </si>
  <si>
    <t>RR85-22</t>
  </si>
  <si>
    <t>B01104</t>
  </si>
  <si>
    <t>arkose</t>
  </si>
  <si>
    <t>Hedmark</t>
  </si>
  <si>
    <t>Rendalen</t>
  </si>
  <si>
    <t>Moelv Tillite</t>
  </si>
  <si>
    <t>Bingen et al 2005</t>
  </si>
  <si>
    <t>Nystuen &amp; Lamminen 2011</t>
  </si>
  <si>
    <t>Dohna_all</t>
  </si>
  <si>
    <t>Dohna granodiorite</t>
  </si>
  <si>
    <t>WeG5</t>
  </si>
  <si>
    <t>Weesenstein</t>
  </si>
  <si>
    <t>Muglitz</t>
  </si>
  <si>
    <t>Weesenstein diamictite</t>
  </si>
  <si>
    <t>WeG3</t>
  </si>
  <si>
    <t>WeG2</t>
  </si>
  <si>
    <t>Pb-Pb</t>
  </si>
  <si>
    <t>Port Nolloth</t>
  </si>
  <si>
    <t>Hilda</t>
  </si>
  <si>
    <t>Picklehaube</t>
  </si>
  <si>
    <t>lower Picklehaube</t>
  </si>
  <si>
    <t>Folling et al 2000</t>
  </si>
  <si>
    <t>Holgat</t>
  </si>
  <si>
    <t>Bloeddrif</t>
  </si>
  <si>
    <t>OR1</t>
  </si>
  <si>
    <t>Alcudian</t>
  </si>
  <si>
    <t>Lower Alcudian</t>
  </si>
  <si>
    <t>Orellana diamictite</t>
  </si>
  <si>
    <t>Alvaro et al 2019</t>
  </si>
  <si>
    <t>ALC-5</t>
  </si>
  <si>
    <t>Upper Alcudian</t>
  </si>
  <si>
    <t>Talavera et al 2015</t>
  </si>
  <si>
    <t>BOPC343</t>
  </si>
  <si>
    <t>Bou Azzer</t>
  </si>
  <si>
    <t>porphyritic basalt</t>
  </si>
  <si>
    <t>Taroudant</t>
  </si>
  <si>
    <t>Adoudou</t>
  </si>
  <si>
    <t>Blein et al 2014</t>
  </si>
  <si>
    <t>BODG6</t>
  </si>
  <si>
    <t>ALDG20</t>
  </si>
  <si>
    <t>9-MZ8</t>
  </si>
  <si>
    <t>Errami et al 2021</t>
  </si>
  <si>
    <t>8-MZ9</t>
  </si>
  <si>
    <t>pyroclastic sandstone</t>
  </si>
  <si>
    <t>M'Gouna</t>
  </si>
  <si>
    <t>SA-20 (SdAn-1)</t>
  </si>
  <si>
    <t>microsyenite</t>
  </si>
  <si>
    <t>Sierra de las Animas complex</t>
  </si>
  <si>
    <t>Rapalini et al 2015</t>
  </si>
  <si>
    <t>SA-12 (SdAn-2)</t>
  </si>
  <si>
    <t>rhyolite</t>
  </si>
  <si>
    <t>El Tambo</t>
  </si>
  <si>
    <t>SA-8 (SdAn3)</t>
  </si>
  <si>
    <t>hornblende syenite</t>
  </si>
  <si>
    <t>Youngest single grain date agrees with youngest population date of 593 +11/-18 Ma</t>
  </si>
  <si>
    <t>Playa Hermosa</t>
  </si>
  <si>
    <t>Pourpree de l'Ahnet</t>
  </si>
  <si>
    <t>2-ANP-006-MT</t>
  </si>
  <si>
    <t>Araras</t>
  </si>
  <si>
    <t>Guia</t>
  </si>
  <si>
    <t>Serra Azul diamictite</t>
  </si>
  <si>
    <t>Babinski et al 2006</t>
  </si>
  <si>
    <t>Figueiredo 2010</t>
  </si>
  <si>
    <t>Lamoso et al 2023</t>
  </si>
  <si>
    <t>Serra Azul</t>
  </si>
  <si>
    <t>Unit A</t>
  </si>
  <si>
    <t>BSA-07</t>
  </si>
  <si>
    <t>McGee et al 2015a</t>
  </si>
  <si>
    <t>McGee et al 2015b</t>
  </si>
  <si>
    <t>Squantum diamictite</t>
  </si>
  <si>
    <t>MT94-2BC</t>
  </si>
  <si>
    <t>Sample containts a lot of xenocrystic/detrital zircons</t>
  </si>
  <si>
    <t>Boston Bay</t>
  </si>
  <si>
    <t>Cambridge Argillite</t>
  </si>
  <si>
    <t>Mystic River Quarry ash bed</t>
  </si>
  <si>
    <t>Thompson &amp; Bowring 2000</t>
  </si>
  <si>
    <t>Sample 198-14</t>
  </si>
  <si>
    <t>argillite</t>
  </si>
  <si>
    <t>MT99-4</t>
  </si>
  <si>
    <t>Dorchester Tunnel</t>
  </si>
  <si>
    <t>Roxbury Conglomerate</t>
  </si>
  <si>
    <t>Squantum</t>
  </si>
  <si>
    <t>MT96-6</t>
  </si>
  <si>
    <t>AW94-3</t>
  </si>
  <si>
    <t>AW94-4</t>
  </si>
  <si>
    <t>10G02</t>
  </si>
  <si>
    <t>Yili</t>
  </si>
  <si>
    <t>Talisayi</t>
  </si>
  <si>
    <t>Yellow sandstone</t>
  </si>
  <si>
    <t>He et al 2015</t>
  </si>
  <si>
    <t>RTM-154</t>
  </si>
  <si>
    <t>Tizwat</t>
  </si>
  <si>
    <t>Ouarzazate PIII</t>
  </si>
  <si>
    <t>Amassine suite</t>
  </si>
  <si>
    <t>Tazoult Quartz Porphyry</t>
  </si>
  <si>
    <t>Thomas et al 2002</t>
  </si>
  <si>
    <t>Sample 14DL36</t>
  </si>
  <si>
    <t>Ait Ahmane</t>
  </si>
  <si>
    <t>Anti-Atlas PII</t>
  </si>
  <si>
    <t>Bou Azzer diamictite</t>
  </si>
  <si>
    <t>Sample 14DL11</t>
  </si>
  <si>
    <t>Taghdout</t>
  </si>
  <si>
    <t>Sample 15DL32</t>
  </si>
  <si>
    <t>ALDG21</t>
  </si>
  <si>
    <t>rhyolitic welded tuff</t>
  </si>
  <si>
    <t>Tiddiline</t>
  </si>
  <si>
    <t>Sample #99-18</t>
  </si>
  <si>
    <t>Bleida granodiorite</t>
  </si>
  <si>
    <t>Inglis et al 2004</t>
  </si>
  <si>
    <t>Sample #00-09</t>
  </si>
  <si>
    <t>SB-9</t>
  </si>
  <si>
    <t>rhyolitic tuff</t>
  </si>
  <si>
    <t>Uwharrie</t>
  </si>
  <si>
    <t>Ingle et al 2003</t>
  </si>
  <si>
    <t>Weaver et al 2006</t>
  </si>
  <si>
    <t>#00CT-03</t>
  </si>
  <si>
    <t>Albermarle</t>
  </si>
  <si>
    <t>Cid</t>
  </si>
  <si>
    <t>Flat Swamp</t>
  </si>
  <si>
    <t>Hibbard et al 2006</t>
  </si>
  <si>
    <t>Hibbard et al 2009</t>
  </si>
  <si>
    <t>Trinity diamictite</t>
  </si>
  <si>
    <t>OBJP-01</t>
  </si>
  <si>
    <t>Old Bonaventure</t>
  </si>
  <si>
    <t>E8</t>
  </si>
  <si>
    <t>Musgravetown</t>
  </si>
  <si>
    <t>Rocky Harbour</t>
  </si>
  <si>
    <t>OBJP-03</t>
  </si>
  <si>
    <t>E7</t>
  </si>
  <si>
    <t>B1552-42.2</t>
  </si>
  <si>
    <t>E6</t>
  </si>
  <si>
    <t>94-N-10B</t>
  </si>
  <si>
    <t>Nama</t>
  </si>
  <si>
    <t>Kuibis</t>
  </si>
  <si>
    <t>Zaris</t>
  </si>
  <si>
    <t>Hoogland</t>
  </si>
  <si>
    <t>lower Hoogland ash bed</t>
  </si>
  <si>
    <t>Bowring et al 2007</t>
  </si>
  <si>
    <t>L1941</t>
  </si>
  <si>
    <t>Schwarzrand</t>
  </si>
  <si>
    <t>Nudaus</t>
  </si>
  <si>
    <t>Vingerbreek</t>
  </si>
  <si>
    <t>basal Vingerbreek</t>
  </si>
  <si>
    <t>Nelson et al 2022</t>
  </si>
  <si>
    <t>A3</t>
  </si>
  <si>
    <t>Hanshan</t>
  </si>
  <si>
    <t>Pochengshan</t>
  </si>
  <si>
    <t>Niu et al 2024</t>
  </si>
  <si>
    <t>A4</t>
  </si>
  <si>
    <t>E2</t>
  </si>
  <si>
    <t>Shuangyingshan West</t>
  </si>
  <si>
    <t>Shuangyingshan</t>
  </si>
  <si>
    <t>F1</t>
  </si>
  <si>
    <t>Xichangjing</t>
  </si>
  <si>
    <t>B2</t>
  </si>
  <si>
    <t>Shuangyingshan East</t>
  </si>
  <si>
    <t>E1</t>
  </si>
  <si>
    <t>argillaceous mudstone</t>
  </si>
  <si>
    <t>A1</t>
  </si>
  <si>
    <t>A2</t>
  </si>
  <si>
    <t>tuffaceous mudstone</t>
  </si>
  <si>
    <t>B1</t>
  </si>
  <si>
    <t>D1</t>
  </si>
  <si>
    <t>metasandstone</t>
  </si>
  <si>
    <t>Avalonia</t>
  </si>
  <si>
    <t>Arabian Shield</t>
  </si>
  <si>
    <t>Yangtze Block</t>
  </si>
  <si>
    <t>South China</t>
  </si>
  <si>
    <t>East Gondwana</t>
  </si>
  <si>
    <t>Flinders Ranges</t>
  </si>
  <si>
    <t>Bunyeroo Gorge</t>
  </si>
  <si>
    <t>Laurentia</t>
  </si>
  <si>
    <t>Avalon Peninsula</t>
  </si>
  <si>
    <t>Busch et al 2023</t>
  </si>
  <si>
    <t>Bonavista Peninsula</t>
  </si>
  <si>
    <t>Tasmania</t>
  </si>
  <si>
    <t>Mulder et al 2020</t>
  </si>
  <si>
    <t>New England</t>
  </si>
  <si>
    <t>West Gondwana</t>
  </si>
  <si>
    <t>Cadomia</t>
  </si>
  <si>
    <t>Juruena sub-basin</t>
  </si>
  <si>
    <t>Rooney et al 2020</t>
  </si>
  <si>
    <t>Baltica</t>
  </si>
  <si>
    <t>Siberia</t>
  </si>
  <si>
    <t>Bowyer et al 2023 GSABull</t>
  </si>
  <si>
    <t>Wang et al 2017</t>
  </si>
  <si>
    <t>Kalahari</t>
  </si>
  <si>
    <t>Bowyer et al 2023 EPSL</t>
  </si>
  <si>
    <t>Yang, C., Rooney, A.D., et al. 2021. The tempo of Ediacaran evolution. Science Advances, 7, eabi9643, https://doi.org/10.1126/sciadv.abi9643.</t>
  </si>
  <si>
    <t>Zhu, B., Becker, H., Jiang, S.-Y., Pi, D.-H., Fischer-Gödde, M. and Yang, J.-H. 2013. Re–Os geochronology of black shales from the Neoproterozoic Doushantuo Formation, Yangtze platform, South China. Precambrian Research, 225, 67–76, https://doi.org/10.1016/j.precamres.2012.02.002.</t>
  </si>
  <si>
    <t>Calver, C.R. and Walter, M.R. 2000. The late Neoproterozoic Grassy Group of King Island, Tasmania: correlation and palaeogeographic significance. Precambrian Research, 100, 299–312, https://doi.org/10.1016/S0301-9268(99)00078-9.</t>
  </si>
  <si>
    <t>Calver, C.R., Black, L.P., Everard, J.L. and Seymour, D.B. 2004. U-Pb zircon age constraints on late Neoproterozoic glaciation in Tasmania. Geology, 32, 893–896, https://doi.org/10.1130/G20713.1.</t>
  </si>
  <si>
    <t>Pu, J.P., Bowring, S.A., et al. 2016. Dodging snowballs: Geochronology of the Gaskiers glaciation and the first appearance of the Ediacaran biota. Geology, 44, 955–958, https://doi.org/10.1130/G38284.1.</t>
  </si>
  <si>
    <t>Rooney, A.D., Cantine, M.D., et al. 2020. Calibrating the coevolution of Ediacaran life and environment. Proceedings of the National Academy of Sciences, https://doi.org/10.1073/pnas.2002918117.</t>
  </si>
  <si>
    <t>Środoń, J., Condon, D.J., et al. 2023. Ages of the Ediacaran Volyn-Brest trap volcanism, glaciations, paleosols, Podillya Ediacaran soft-bodied organisms, and the Redkino-Kotlin boundary (East European Craton) constrained by zircon single grain U-Pb dating. Precambrian Research, 386, 106962, https://doi.org/10.1016/j.precamres.2023.106962.</t>
  </si>
  <si>
    <t>Thomas, R.J., Chevallier, L.P., et al. 2002. Precambrian evolution of the Sirwa Window, Anti-Atlas Orogen, Morocco. Precambrian Research, 118, 1–57, https://doi.org/10.1016/S0301-9268(02)00075-X.</t>
  </si>
  <si>
    <t>Thompson, M.D. and Bowring, S.A. 2000. Age of the Squantum “tillite,” Boston Basin, Massachusetts; U-Pb zircon constraints on terminal Neoproterozoic glaciation. American Journal of Science, 300, 630–655, https://doi.org/10.2475/ajs.300.8.630.</t>
  </si>
  <si>
    <t>Nelson, L.L., Ramezani, J., et al. 2022. Pushing the boundary: A calibrated Ediacaran-Cambrian stratigraphic record from the Nama Group in northwestern Republic of South Africa. Earth and Planetary Science Letters, 580, 117396, https://doi.org/10.1016/j.epsl.2022.117396.</t>
  </si>
  <si>
    <t>Miller, N., Johnson, P. and Stern, B. 2008. Marine versus non-marine environments for the Jibalah Group, NW Arabian shield: A sedimentologic and geochemical survey and report of possible metazoa in the Dhaiqa formation. Arabian Journal for Science and Engineering, 33, 55–77.</t>
  </si>
  <si>
    <t>Letsch, D., Large, S.J.E., Buechi, M.W., Winkler, W. and von Quadt, A. 2018. Ediacaran glaciations of the west African Craton – Evidence from Morocco. Precambrian Research, 310, 17–38, https://doi.org/10.1016/j.precamres.2018.02.015.</t>
  </si>
  <si>
    <t>Linnemann, U., Pidal, A.P., et al. 2018. A ~565 Ma old glaciation in the Ediacaran of peri-Gondwanan West Africa. International Journal of Earth Sciences, 107, 885–911, https://doi.org/10.1007/s00531-017-1520-7.</t>
  </si>
  <si>
    <t>Linnemann, U., Hofmann, M., et al. 2022. An Upper Ediacaran Glacial Period in Cadomia: the Granville tillite (Armorican Massif) – sedimentology, geochronology and provenance. Geological Magazine, 159, 999–1013, https://doi.org/10.1017/S0016756821001011.</t>
  </si>
  <si>
    <t>Babinski, M., Trindade, R., Alvarenga, C., Boggiani, Liu, D., Santos, R. and Neves, B.B. 2006. Chronology of Neoproterozoic ice ages in central Brazil. Punta del Este, Uruguay, Short Papers, 1.</t>
  </si>
  <si>
    <t>Bingen, B., Griffin, W.L., Torsvik, T.H. and Saeed, A. 2005. Timing of Late Neoproterozoic glaciation on Baltica constrained by detrital zircon geochronology in the Hedmark Group, south-east Norway. Terra Nova, 17, 250–258, https://doi.org/10.1111/j.1365-3121.2005.00609.x.</t>
  </si>
  <si>
    <t>Blein, O., Baudin, T., et al. 2014. Geochronological constraints on the polycyclic magmatism in the Bou Azzer-El Graara inlier (Central Anti-Atlas Morocco). Journal of African Earth Sciences, 99, 287–306, https://doi.org/10.1016/j.jafrearsci.2014.04.021.</t>
  </si>
  <si>
    <t>Bowring, S.A., Grotzinger, J.P., Condon, D.J., Ramezani, J., Newall, M.J. and Allen, P.A. 2007. Geochronologic constraints on the chronostratigraphic framework of the Neoproterozoic Huqf Supergroup, Sultanate of Oman. American Journal of Science, 307, 1097–1145, https://doi.org/10.2475/10.2007.01.</t>
  </si>
  <si>
    <t>Etemad-Saeed, N., Hosseini-Barzi, M., Adabi, M.H., Miller, N.R., Sadeghi, A., Houshmandzadeh, A. and Stockli, D.F. 2016. Evidence for ca. 560 Ma Ediacaran glaciation in the Kahar Formation, central Alborz Mountains, northern Iran. Gondwana Research, 31, 164–183, https://doi.org/10.1016/j.gr.2015.01.005.</t>
  </si>
  <si>
    <t>Figueiredo, M.F. 2010. Quimioestratigrafia isotópica (C, O, S e Sr), geocronologia (Pb-Pb e K-Ar) e proveniência (Sm-Nd) das rochas da Faixa Paraguai Norte, Mato Grosso. text, Universidade de São Paulo., https://doi.org/10.11606/T.44.2010.tde-23012011-172059.</t>
  </si>
  <si>
    <t>Grazhdankin, D.V., Marusin, V.V., Meert, J., Krupenin, M.T. and Maslov, A.V. 2011. Kotlin regional stage in the South Urals. Doklady Earth Sciences, 440, 1222–1226, https://doi.org/10.1134/S1028334X11090170.</t>
  </si>
  <si>
    <t>Inglis, J.D., MacLean, J.S., Samson, S.D., D’Lemos, R.S., Admou, H. and Hefferan, K. 2004. A precise U–Pb zircon age for the Bleïda granodiorite, Anti-Atlas, Morocco: implications for the timing of deformation and terrane assembly in the eastern Anti-Atlas. Journal of African Earth Sciences, 39, 277–283, https://doi.org/10.1016/j.jafrearsci.2004.07.041.</t>
  </si>
  <si>
    <t>Maslov, A., Meert, J., et al. 2013. New Constraints for the Age of Vendian Glacial Deposits (Central Urals). Doklady Earth Sciences, 449, 303–308, https://doi.org/10.1134/S1028334X13030203.</t>
  </si>
  <si>
    <t>Zhou, C., Li, X.-H., Xiao, S., Lan, Z., Ouyang, Q., Guan, C. and Chen, Z. 2017. A new SIMS zircon U–Pb date from the Ediacaran Doushantuo Formation: age constraint on the Weng’an biota. Geological Magazine, 154, 1193–1201, https://doi.org/10.1017/S0016756816001175.</t>
  </si>
  <si>
    <t>Paszkowski et al 2018</t>
  </si>
  <si>
    <t>Paszkowski, M., Kedzior, A. and Shumlyanskyy, L. 2018. Well-preserved Proterozoic pre- and post-Vilchitsy periglacial phenomena on western Baltica paleocontinent. In: Geology and Mineral Resources of Ukraine: 100-Years Anniversary Conference of the Institute of Geology, Mineralogy, and Mineral Resources of National Academy of Sciences, Kiev, Ukraine. 190–191.</t>
  </si>
  <si>
    <t>Paszkowski, M., Budzyń, B., et al. 2021. Detrital zircon U-Pb and Hf constraints on provenance and timing of deposition of the Mesoproterozoic to Cambrian sedimentary cover of the East European Craton, part II: Ukraine. Precambrian Research, 362, 106282, https://doi.org/10.1016/j.precamres.2021.106282.</t>
  </si>
  <si>
    <t>Hebert, C.L., Kaufman, A.J., Penniston-Dorland, S.C. and Martin, A.J. 2010. Radiometric and stratigraphic constraints on terminal Ediacaran (post-Gaskiers) glaciation and metazoan evolution. Precambrian Research, 182, 402–412, https://doi.org/10.1016/j.precamres.2010.07.008.</t>
  </si>
  <si>
    <t>Busch, J.F., Boag, T.H., Sperling, E.A., Rooney, A.D., Feng, X., Moynihan, D.P. and Strauss, J.V. 2023. Integrated Litho-, Chemo- and Sequence Stratigraphy of the Ediacaran Gametrail Formation Across a Shelf-Slope Transect in the Wernecke Mountains, Yukon, Canada. American Journal of Science, 323, 4, https://doi.org/10.2475/001c.74874.</t>
  </si>
  <si>
    <t>Calver, C.R., Crowley, J.L., Wingate, M.T.D., Evans, D.A.D., Raub, T.D. and Schmitz, M.D. 2013. Globally synchronous Marinoan deglaciation indicated by U-Pb geochronology of the Cottons Breccia, Tasmania, Australia. Geology, 41, 1127–1130, https://doi.org/10.1130/G34568.1.</t>
  </si>
  <si>
    <t>Mulder, J.A., Everard, J.L., et al. 2020. Neoproterozoic opening of the Pacific Ocean recorded by multi-stage rifting in Tasmania, Australia. Earth-Science Reviews, 201, 103041, https://doi.org/10.1016/j.earscirev.2019.103041.</t>
  </si>
  <si>
    <t>Bowyer, F.T., Zhuravlev, A.Y., et al. 2023. Implications of an integrated late Ediacaran to early Cambrian stratigraphy of the Siberian Platform, Russia. GSA Bulletin, 135, 2428–2450, https://doi.org/10.1130/B36534.1.</t>
  </si>
  <si>
    <t>Wang, W., Guan, C., et al. 2017. Integrated carbon, sulfur, and nitrogen isotope chemostratigraphy of the Ediacaran Lantian Formation in South China: Spatial gradient, ocean redox oscillation, and fossil distribution. Geobiology, 15, 552–571, https://doi.org/10.1111/gbi.12226.</t>
  </si>
  <si>
    <t>Bowyer, F.T., Uahengo, C.-I., et al. 2023. Constraining the onset and environmental setting of metazoan biomineralization: The Ediacaran Nama Group of the Tsaus Mountains, Namibia. Earth and Planetary Science Letters, 620, 118336, https://doi.org/10.1016/j.epsl.2023.118336.</t>
  </si>
  <si>
    <t>Vickers-Rich, P., Ivantsov, A.Y., et al. 2013. Reconstructing Rangea: new discoveries from the Ediacaran of southern Namibia. Journal of Paleontology, 87, 1–15, https://doi.org/10.1666/12-074R.1.</t>
  </si>
  <si>
    <t>reference_ID</t>
  </si>
  <si>
    <t>reference_short</t>
  </si>
  <si>
    <t>reference_year</t>
  </si>
  <si>
    <t>reference_full</t>
  </si>
  <si>
    <t>Antaq Polymictic Conglomerate</t>
  </si>
  <si>
    <t>Rubtayn Formation; Jibalah Group</t>
  </si>
  <si>
    <t>MEIH</t>
  </si>
  <si>
    <t>Yes</t>
  </si>
  <si>
    <t>NC4</t>
  </si>
  <si>
    <t>★★☆☆☆ diamictite with subrounded to rounded clasts from 3 lithological groups</t>
  </si>
  <si>
    <t>No</t>
  </si>
  <si>
    <t>Baykonur Formation</t>
  </si>
  <si>
    <t>Altaids</t>
  </si>
  <si>
    <t>Ediacaran</t>
  </si>
  <si>
    <t>NC14</t>
  </si>
  <si>
    <t>★★★★☆ diamictite and dropstones with angular to rounded clasts from 3 lithological groups, some of which are facetted or striated</t>
  </si>
  <si>
    <t>Hankalchough</t>
  </si>
  <si>
    <t>Evidence cited for deposits of this glaciation are frost boils; needle ice casts; dropped pebbles; low chemical index of alteration; glacial pavement; diamictite.</t>
  </si>
  <si>
    <t>GEG</t>
  </si>
  <si>
    <t xml:space="preserve">Age given as approximately 560 Ma following regional stratigraphy. </t>
  </si>
  <si>
    <t>Cordillera-type mountain ice sheets</t>
  </si>
  <si>
    <t xml:space="preserve">Possible Hankalchough assignment. </t>
  </si>
  <si>
    <t>Biexibastao Formation</t>
  </si>
  <si>
    <t>Cryogenian</t>
  </si>
  <si>
    <t>Following Zhu &amp; Wang 2011 and additional dates in He et al 2015</t>
  </si>
  <si>
    <t>NC21b</t>
  </si>
  <si>
    <t>★★☆☆☆ diamictite and dropstones with angular to subrounded clasts from 2 lithological groups</t>
  </si>
  <si>
    <t>Billy Springs Formation</t>
  </si>
  <si>
    <t>LEIH</t>
  </si>
  <si>
    <t>ND15</t>
  </si>
  <si>
    <t>★★★☆☆ rhythmite (possibly varves), and diamictite and dropstones with angular to subrounded clasts from 2 lithological groups, some of which are facetted</t>
  </si>
  <si>
    <t>Evidence cited for deposits of this glaciation are dropped pebbles; low chemical index of alteration; diamictite.</t>
  </si>
  <si>
    <t xml:space="preserve">Maximum age constraint from maximum age of the underlying Wonoka Formation. No minimum age constraint. </t>
  </si>
  <si>
    <t>Marine glacial</t>
  </si>
  <si>
    <t>Blon Formation</t>
  </si>
  <si>
    <t>Vilchitsy Group; Vil'chitsy Group</t>
  </si>
  <si>
    <t>Following Francovschi et al 2023; 2024</t>
  </si>
  <si>
    <t>NE24a</t>
  </si>
  <si>
    <t>★★★☆☆ diamictite and lonestones with angular to well-rounded clasts from 3 lithological groups</t>
  </si>
  <si>
    <t>Combined as Vil'chitsy Group. No maximum age constraint. Possibly minimum age constraint from U-Pb zircon date from Ust'Pinega.</t>
  </si>
  <si>
    <t>Boondawari Formation</t>
  </si>
  <si>
    <t>Following Hill et al 2011; glacial units at base of formation; upper parts of formation are likely Ediacaran</t>
  </si>
  <si>
    <t>ND13</t>
  </si>
  <si>
    <t>★★★★☆ rhythmite (possibly varves), and diamictite with clasts of unreported roundness from 4 lithological groups, some of which are facetted or striated</t>
  </si>
  <si>
    <t>Boord Formation</t>
  </si>
  <si>
    <t>Following Hill et al 2011</t>
  </si>
  <si>
    <t>ND11a</t>
  </si>
  <si>
    <t>★★★★☆ diamictite with angular to rounded clasts from 4 lithological groups, some of which are facetted or striated</t>
  </si>
  <si>
    <t>Bradore Formation</t>
  </si>
  <si>
    <t>sub-Cambrian pavement</t>
  </si>
  <si>
    <t>uncertain</t>
  </si>
  <si>
    <t>NF23</t>
  </si>
  <si>
    <t>★☆☆☆☆ grooved surfaces, and diamictite with rounded clasts from one lithological group</t>
  </si>
  <si>
    <t>Glacial erosion surface</t>
  </si>
  <si>
    <t>Bunyeroo Formation</t>
  </si>
  <si>
    <t>ND16c</t>
  </si>
  <si>
    <t>★☆☆☆☆ lonestones with clasts of unreported roundness from one lithological group</t>
  </si>
  <si>
    <t>Gaskiers</t>
  </si>
  <si>
    <t>Evidence cited for deposits of this glaciation are tillite; dropped pebbles; low chemical index of alteration; ice wedges; paleokarst.</t>
  </si>
  <si>
    <t>Maximum age constraint from Rb-Sr isochron on Stuart Shelf equivalent of Bunyeroo Formation. No specified minimum age constraint but noted that it is below the Wonoka Formation.</t>
  </si>
  <si>
    <t>Chameis Gate Member</t>
  </si>
  <si>
    <t>NA23</t>
  </si>
  <si>
    <t>★★★★☆ diamictite and dropstones with angular to rounded clasts from 4 lithological groups</t>
  </si>
  <si>
    <t>Churochnaya Formation</t>
  </si>
  <si>
    <t>Following Sergeev et al 2013; but note that correlation with the Serebryanka Group (Tany and Koyva formations) is also plausible and would make this MEIH; see Chumakov 2011</t>
  </si>
  <si>
    <t>NE28</t>
  </si>
  <si>
    <t>★★★★☆ rhythmically banded shales (possibly varves), and diamictite and dropstones with angular to rounded clasts from 3 lithological groups, some of which are facetted or striated</t>
  </si>
  <si>
    <t>No age constraints given or plotted.</t>
  </si>
  <si>
    <t>Clanzschwitz Formation; Clanzschwitz Group Member 3</t>
  </si>
  <si>
    <t>Age constraints from Linnemann et al 2018. Weesenstein-Clanzschite[sic]-Orellana diamictites grouped together.</t>
  </si>
  <si>
    <t xml:space="preserve">Clanzschwitz and Weesenstein (Muglitz) diamictites grouped. </t>
  </si>
  <si>
    <t>Following detrital zircon dates; younger age up to MEIH also possible</t>
  </si>
  <si>
    <t>ND21</t>
  </si>
  <si>
    <t>★★★★☆ diamictite and dropstones with clasts of unreported roundness from 3 lithological groups, some of which are striated</t>
  </si>
  <si>
    <t>Possible rolled in with the Croles Hill diamictite on Tasmania but this is not made clear.</t>
  </si>
  <si>
    <t>Maximum age unconstrained. Estimate of 600 Ma or 586 Ma to 572 Ma for depositional age. Minimum age from U-Pb zircon.</t>
  </si>
  <si>
    <t>Included in compilation but not assigned to a glacial interval.</t>
  </si>
  <si>
    <t>Croles Hill diamictite</t>
  </si>
  <si>
    <t>Interbedded with volcanic units that are dated</t>
  </si>
  <si>
    <t>ND20b</t>
  </si>
  <si>
    <t>★★★☆☆ diamictite and lonestones with angular to rounded clasts from 3 lithological groups</t>
  </si>
  <si>
    <t>Possibly assigned to Elatina glaciation; age constraints from Calver et al 2004</t>
  </si>
  <si>
    <t xml:space="preserve">Maximum age constraint from 582 ± 4 Ma date of Calver et al 2004. No minimum age constraint. </t>
  </si>
  <si>
    <t>Lowland terrestrial glacial</t>
  </si>
  <si>
    <t>Dey Dey Mudstone</t>
  </si>
  <si>
    <t>ND12</t>
  </si>
  <si>
    <t>★★☆☆☆ dropstones with clasts of unreported roundness from one lithological group</t>
  </si>
  <si>
    <t>Dhaiqa Formation</t>
  </si>
  <si>
    <t>NC3b</t>
  </si>
  <si>
    <t>★★★☆☆ diamictite and dropstones with subrounded to rounded clasts from 3 lithological groups</t>
  </si>
  <si>
    <t>unnamed</t>
  </si>
  <si>
    <t>Age constraints follow Vickers-Rich &amp; Fedonkin 2007 and Miller et al 2008; possible confusion over interpretation of Vickers-Rich &amp; Fedonkin date as being pre-/syn-depositional rather than post-depositional.</t>
  </si>
  <si>
    <t xml:space="preserve">Maximum age constraint from U-Pb date of Vickers-Rich et al 2010. No minimum age constraint provided. </t>
  </si>
  <si>
    <t xml:space="preserve">Possible Bou Azzer assingment. </t>
  </si>
  <si>
    <t>Doushantuo Formation</t>
  </si>
  <si>
    <t>Tindal 2023 implicit</t>
  </si>
  <si>
    <t>Excluded from compilation</t>
  </si>
  <si>
    <t>All</t>
  </si>
  <si>
    <t>Doushantuo glendonites</t>
  </si>
  <si>
    <t>Ediacara Member</t>
  </si>
  <si>
    <t>Periglacial soil</t>
  </si>
  <si>
    <t>Egan Formation</t>
  </si>
  <si>
    <t>Assigned Ediacaran due to poor age constraints; Corkeron 2011 correlation would suggest MEIH</t>
  </si>
  <si>
    <t>ND3b</t>
  </si>
  <si>
    <t>★★★☆☆ small striated surfaces, and diamictite with subangular to subrounded clasts from 2 lithological groups, some of which are facetted or striated</t>
  </si>
  <si>
    <t>Egan</t>
  </si>
  <si>
    <t>Fauquier</t>
  </si>
  <si>
    <t>Age constraint from stromatolite biostratigraphy. Evidence cited for deposits of this glaciation are tillite; dropped pebbles; low chemical index of alteration; paleokarst.</t>
  </si>
  <si>
    <t>Highly uncertaint age; carbon isotope data not helpful; considered post-Marinoan and possibly Ediacaran</t>
  </si>
  <si>
    <t>Possible Fauquier assignment</t>
  </si>
  <si>
    <t>Erga Formation</t>
  </si>
  <si>
    <t>Erga Beds; Yorga Formation; Lower Erga Formation</t>
  </si>
  <si>
    <t>Permafrost boils</t>
  </si>
  <si>
    <t>Esfordi Formation</t>
  </si>
  <si>
    <t>Irania</t>
  </si>
  <si>
    <t>No more precise information available</t>
  </si>
  <si>
    <t>NC10</t>
  </si>
  <si>
    <t>★★★☆☆ diamictite and dropstones with subrounded to rounded clasts from 4 lithological groups</t>
  </si>
  <si>
    <t>Fargoo Formation</t>
  </si>
  <si>
    <t>Following Corkeron 2011</t>
  </si>
  <si>
    <t>ND2</t>
  </si>
  <si>
    <t>★★★★☆ small striated surfaces with chattermarks, and diamictite with subangular to subrounded clasts from 3 lithological groups, some of which are facetted or striated</t>
  </si>
  <si>
    <t>Fauquier Formation</t>
  </si>
  <si>
    <t>Not well constrained</t>
  </si>
  <si>
    <t>NF18b</t>
  </si>
  <si>
    <t>★★☆☆☆ diamictite with angular to rounded clasts from 2 lithological groups</t>
  </si>
  <si>
    <t>Evidence cited for deposits of this glaciation are tillite; dropped pebbles; low chemical index of alteration; paleokarst.</t>
  </si>
  <si>
    <t>Maximum age unconstrained. Minimum age constrained by zircon U-Pb TIMS date on felsic tuff.</t>
  </si>
  <si>
    <t>Pro-glacial fluvial outwash</t>
  </si>
  <si>
    <t>Fersiga Group</t>
  </si>
  <si>
    <t>Fersiga Formation</t>
  </si>
  <si>
    <t>Following Shields-Zhou et al 2011; see also radiometric constraints herein</t>
  </si>
  <si>
    <t>NA3</t>
  </si>
  <si>
    <t>★★★★☆ small striated surfaces, and diamictite with clasts of unreported roundness from 3 lithological groups, some of which are striated</t>
  </si>
  <si>
    <t xml:space="preserve">Maximum age constraint from zircon U-Pb date. Minimum age constraint from Cambrian fossils and whole rock Rb-Sr date. </t>
  </si>
  <si>
    <t>Mountain and terrestrial glacial</t>
  </si>
  <si>
    <t xml:space="preserve">Pourpree l'Ahnet and Fersiga groups combined. </t>
  </si>
  <si>
    <t>Gaskiers Formation</t>
  </si>
  <si>
    <t>NF20</t>
  </si>
  <si>
    <t>★★★★☆ diamictite and dropstones with very angular to well-rounded clasts from 3 lithological groups, some of which are facetted or striated</t>
  </si>
  <si>
    <t>Following age constraints of Pu et al 2016.</t>
  </si>
  <si>
    <t>Cite a 50 cm 'cap carbonate' with d13C values -6 permille to -2 permille in the Harbour Main section and a 20 cm 'cap carbonate' with d13C values -8 permille to -5 permille in the Kitchuses section.</t>
  </si>
  <si>
    <t>Glussk Formation</t>
  </si>
  <si>
    <t>NE24b</t>
  </si>
  <si>
    <t>★★★★☆ varves, and diamictite and dropstones with angular to rounded clasts from 4 lithological groups, some of which are facetted or striated</t>
  </si>
  <si>
    <t>Granville Formation</t>
  </si>
  <si>
    <t>NE19</t>
  </si>
  <si>
    <t>★★★☆☆ diamictite with rounded to well-rounded clasts from 3 lithological groups, some of which are striated</t>
  </si>
  <si>
    <t>Gwna Group</t>
  </si>
  <si>
    <t>Mona Group; Bodorgan Formation</t>
  </si>
  <si>
    <t>Following Schofield et al 2021; possibly Cambro-Ordovician.</t>
  </si>
  <si>
    <t>NF18</t>
  </si>
  <si>
    <t>★★★☆☆ diamictite and dropstones with angular to rounded clasts from 3 lithological groups</t>
  </si>
  <si>
    <t>Maximum age constraint from Rb-Sr whole-rock isochron on underlying metamorphic rock. Minimum age constraint from Rb-Sr whole-rock isochron of 550-560 Ma from metamorphic rock above.</t>
  </si>
  <si>
    <t>Possible Gaskiers assignment.</t>
  </si>
  <si>
    <t>Hankalchough Formation</t>
  </si>
  <si>
    <t>Quruqtagh Group</t>
  </si>
  <si>
    <t>Tarim</t>
  </si>
  <si>
    <t>NC20d</t>
  </si>
  <si>
    <t>★★☆☆☆ diamictite with angular clasts from 3 lithological groups</t>
  </si>
  <si>
    <t xml:space="preserve">Maximum age constraint from termination of Shuram carbon isotope excursion. No minimum age constraint. </t>
  </si>
  <si>
    <t>Terrestrial glacial</t>
  </si>
  <si>
    <t>Helmeth Grits</t>
  </si>
  <si>
    <t>Stretton Shale</t>
  </si>
  <si>
    <t>Tindal 2023 explicit</t>
  </si>
  <si>
    <t xml:space="preserve">Tindal 2023 explicitly rejected in text. </t>
  </si>
  <si>
    <t>Hongtiegou Formation</t>
  </si>
  <si>
    <t>Qaidam</t>
  </si>
  <si>
    <t>Following Wang et al 2021 PrecRes; assumption that deposition was close before fossil-bearing Zhoujieshan Formation</t>
  </si>
  <si>
    <t>NC31</t>
  </si>
  <si>
    <t>☆☆☆☆☆ diamictite with subangular to subrounded clasts from one lithological group</t>
  </si>
  <si>
    <t xml:space="preserve">Age given as approximately 560 Ma. Fossil evidence used to suggest older than 547 Ma in the notes. </t>
  </si>
  <si>
    <t>Terrestrial and marine glacial</t>
  </si>
  <si>
    <t>Hrushka Formation</t>
  </si>
  <si>
    <t>Gruska Formation; Slutsk-Kholonevychi diamictite</t>
  </si>
  <si>
    <t>NE25</t>
  </si>
  <si>
    <t>★☆☆☆☆ diamictite with angular to subangular clasts from 2 lithological groups</t>
  </si>
  <si>
    <t>Huckster Conglomerate</t>
  </si>
  <si>
    <t>Portway Formation</t>
  </si>
  <si>
    <t>Tindal 2023 explicitly rejected in text.</t>
  </si>
  <si>
    <t>Inishowen beds</t>
  </si>
  <si>
    <t>Inishowan beds; Inishowan Boulder Beds; Inishowen Boulder Beds</t>
  </si>
  <si>
    <t>Tindal 2023 rated 0; included here because it as included in other compilations.</t>
  </si>
  <si>
    <t>Poorly constrained except by putative correlation with the Loch na Cille beds. Possibly MEIH or slightly older following radiometric constraints.</t>
  </si>
  <si>
    <t>NE17</t>
  </si>
  <si>
    <t>☆☆☆☆☆ diamictite with clasts of unreported roundness from one lithological group</t>
  </si>
  <si>
    <t xml:space="preserve">No detail provided for age constraints. Loch na Cille and Inishowan beds combined. </t>
  </si>
  <si>
    <t>Inishowan and Loch na Cille beds combined.</t>
  </si>
  <si>
    <t>Iporanga Formation</t>
  </si>
  <si>
    <t>Sao Francisco</t>
  </si>
  <si>
    <t>Poorly constrained; following Campanha et al 2008</t>
  </si>
  <si>
    <t xml:space="preserve">Maximum age constraint from zircon U-Pb SHRIMP date. No minimum age constraint. </t>
  </si>
  <si>
    <t xml:space="preserve">Included in compilation but not assigned to a glacial interval. </t>
  </si>
  <si>
    <t>Ishim River diamictite</t>
  </si>
  <si>
    <t>By regional lithostratigraphic correlation within the Baykonur Formation</t>
  </si>
  <si>
    <t>NC13</t>
  </si>
  <si>
    <t>★★★☆☆ thinly laminated silty shales, and diamictite and lonestones with angular to rounded clasts from 3 lithological groups</t>
  </si>
  <si>
    <t>Izdar Member</t>
  </si>
  <si>
    <t>Ouarzazate Group [but note disctinct from younger Ouarzazate Group deposits]; Aourz Formation; Bou Azzer tillite</t>
  </si>
  <si>
    <t>NA1b</t>
  </si>
  <si>
    <t>★★★☆☆ basement roche moutoneé, and diamictite with very angular to well-rounded clasts from 2 lithological groups, some of which are facetted</t>
  </si>
  <si>
    <t>Includes the Ouarzazate Group but not Izdar Member specifically</t>
  </si>
  <si>
    <t>Includes the Aourz Formation but not the Izdar Member and references Vernhet et al 2012 and Youbi et al 2020</t>
  </si>
  <si>
    <t>Kahar Formation</t>
  </si>
  <si>
    <t>NC11</t>
  </si>
  <si>
    <t>★★★☆☆ small striated surfaces, and diamictite with angular to subrounded clasts from 3 lithological groups</t>
  </si>
  <si>
    <t>Citing Etemad-Saeed et al 2016 for age constraints but plotting an unrecognised ~559 Ma minimum age constraint. Following Etemad-Saeed et al 2016, deposition is dated between 563.1 ± 3.9 Ma to 550.3 ± 3.6 Ma.</t>
  </si>
  <si>
    <t>Maximum age constraint from detrital zircons in underlying formation</t>
  </si>
  <si>
    <t>Possible Bou Azzer assignment</t>
  </si>
  <si>
    <t>Koyva Formation</t>
  </si>
  <si>
    <t>Koiva Formation</t>
  </si>
  <si>
    <t>NE29c</t>
  </si>
  <si>
    <t>★★★☆☆ diamictite and dropstones with clasts of unreported roundness from one lithological group, some of which are striated</t>
  </si>
  <si>
    <t>Maximum age constraint from tuff zircon U-Pb. Minimum age constraint from tuff zircon U-Pb. Combined Tany, Koiva, and Lower Starye Pechi formations; separated here.</t>
  </si>
  <si>
    <t>Combined Tany and Koiva formations; separated here.</t>
  </si>
  <si>
    <t>Kurgashlya Formation</t>
  </si>
  <si>
    <t>Poorly constrained; following Maslov 2004</t>
  </si>
  <si>
    <t>NE30</t>
  </si>
  <si>
    <t>★★★☆☆ diamictite and dropstones with angular to subrounded clasts from 3 lithological groups, some of which are striated</t>
  </si>
  <si>
    <t xml:space="preserve">No age constraint details provided. </t>
  </si>
  <si>
    <t>Landrigan Formation</t>
  </si>
  <si>
    <t>ND3a</t>
  </si>
  <si>
    <t>★★★☆☆ diamictite with angular to subrounded clasts from 3 lithological groups, some of which are facetted or striated</t>
  </si>
  <si>
    <t>Langmarkberg Formation</t>
  </si>
  <si>
    <t>Following Greiling et al 2024 and date in Kumpulainen et al 2021.</t>
  </si>
  <si>
    <t>NE7</t>
  </si>
  <si>
    <t>★★★★☆ small striated surfaces, and diamictite and lonestones with angular to rounded clasts from 4 lithological groups, some of which are facetted or striated</t>
  </si>
  <si>
    <t>Las Ventanas Formation</t>
  </si>
  <si>
    <t>Rio de Plata</t>
  </si>
  <si>
    <t>NG5</t>
  </si>
  <si>
    <t>★★★☆☆ diamictite and lonestones with angular to subrounded clasts from 3 lithological groups, some of which are facetted or striated</t>
  </si>
  <si>
    <t>Maximum age constraint from K-Ar on basalt. Minimum age constraitnt from Ar-Ar on post-collisional plutons.</t>
  </si>
  <si>
    <t>Lillfjället Formation</t>
  </si>
  <si>
    <t>Following Kumpulainen et al 2021</t>
  </si>
  <si>
    <t>NE8</t>
  </si>
  <si>
    <t>★★☆☆☆ diamictite with clasts of unreported roundness from 3 lithological groups, some of which are facetted</t>
  </si>
  <si>
    <t>Lillfjället</t>
  </si>
  <si>
    <t>Citing the conference abstract Kumpulainen et al 2016 which has since been published as Kumpulainen et al 2021</t>
  </si>
  <si>
    <t>Little Burke Tillite</t>
  </si>
  <si>
    <t>ND4a</t>
  </si>
  <si>
    <t>★★★☆☆ diamictite with subrounded to rounded clasts from 3 lithological groups, some of which are facetted or striated</t>
  </si>
  <si>
    <t>Loch na Cille beds</t>
  </si>
  <si>
    <t>Tayvallich Formation</t>
  </si>
  <si>
    <t>Poorly constrained except by putative correlation with the Inishowen beds. Possibly MEIH or slightly older following radiometric constraints.</t>
  </si>
  <si>
    <t>NE16</t>
  </si>
  <si>
    <t>★★☆☆☆ diamictite with clasts of unreported roundness from 3 lithological groups</t>
  </si>
  <si>
    <t>Loch na Cille</t>
  </si>
  <si>
    <t>Age constraints follow Halliday et al 1989 and Dempster et al 2002</t>
  </si>
  <si>
    <t>Luoquan Formation</t>
  </si>
  <si>
    <t>Qinling</t>
  </si>
  <si>
    <t>North China</t>
  </si>
  <si>
    <t>Assumption that deposition was close before fossil-bearing Dongpo Formation</t>
  </si>
  <si>
    <t>NC34</t>
  </si>
  <si>
    <t>★★★★☆ large striated pavements, gravel-sand wedges, varves, and diamictite and dropstones with angular to rounded clasts from 2 lithological groups, some of which are striated</t>
  </si>
  <si>
    <t>Age given as approximately 560 Ma following biostratigraphic and chemostratigraphic constraints. Luoquan and Zhengmuguan formations grouped here.</t>
  </si>
  <si>
    <t xml:space="preserve">Luoquan and Zhengmuguan formations grouped together. </t>
  </si>
  <si>
    <t>Lyamtsa Formation</t>
  </si>
  <si>
    <t>Lamsta Formation; Lyamitsa Formation</t>
  </si>
  <si>
    <t>Mall Bay Formation</t>
  </si>
  <si>
    <t>Marnya Formation</t>
  </si>
  <si>
    <t>NC24</t>
  </si>
  <si>
    <t>★★★★★ 1.5m deep crevasses with breccia, and diamictite and dropstones with clasts of unreported roundness from 4 lithological groups, some of which are facetted or striated</t>
  </si>
  <si>
    <t>Mechum River Formation</t>
  </si>
  <si>
    <t>Following Evans &amp; Raub 2011 and stratigraphy in Wehr &amp; Glover 1985</t>
  </si>
  <si>
    <t>NF18a</t>
  </si>
  <si>
    <t>★★★★☆ diamictite and dropstones with subangular to subrounded clasts from 3 lithological groups, some of which are striated</t>
  </si>
  <si>
    <t>Mentioned in the text but not included in the compilation. Noted as possibly Cryogenian</t>
  </si>
  <si>
    <t>Mistaken Point Formation</t>
  </si>
  <si>
    <t>Moelv Formation</t>
  </si>
  <si>
    <t>Following correlation with Mortensnes Formation which may not be correct; see also Greiling et al 2024</t>
  </si>
  <si>
    <t>NE10</t>
  </si>
  <si>
    <t>★★★★☆ small striated surfaces, single sandstone wedge, and diamictite and lonestones with clasts of unreported roundness from 4 lithological groups</t>
  </si>
  <si>
    <t>Varangerian</t>
  </si>
  <si>
    <t>Following the Re-Os age of 560.6 ± 4.4 Ma date for the underlying Biri Formation from Hannah et al 2008 as stated in the text. However, Youbi et al plot the older 620 ± 14 Ma U-Pb detrital zircon age from Bingen et al 2005.</t>
  </si>
  <si>
    <t>Mentioned in the text but not included in the compilation. Noted as of uncertain Ediacaran or Cryogenian age.</t>
  </si>
  <si>
    <t>Age constraints from U-Pb and Lu-Hf on detrital zircons; no details provided.</t>
  </si>
  <si>
    <t>Mortensnes Formation</t>
  </si>
  <si>
    <t>NE2b</t>
  </si>
  <si>
    <t>★★★☆☆ diamictite with clasts of unreported roundness from 2 lithological groups, some of which are facetted or striated</t>
  </si>
  <si>
    <t>No age constraint details provided.</t>
  </si>
  <si>
    <t>Mount Cornish Formation</t>
  </si>
  <si>
    <t>ND7a</t>
  </si>
  <si>
    <t>★★★★☆ possible varves, and diamictite with clasts of unreported roundness from 4 lithological groups, some of which are facetted or striated</t>
  </si>
  <si>
    <t>Mount Lloyd George Formation</t>
  </si>
  <si>
    <t xml:space="preserve">Following Eisbacher 1981; Smith et al 2011. </t>
  </si>
  <si>
    <t>NF4</t>
  </si>
  <si>
    <t>★★★☆☆ diamictite and dropstones with clasts of unreported roundness from 3 lithological groups, some of which are striated</t>
  </si>
  <si>
    <t>Muglitz Formation</t>
  </si>
  <si>
    <t>Weesenstein tillite; Seidewitz Formation</t>
  </si>
  <si>
    <t>NE21</t>
  </si>
  <si>
    <t>★★★☆☆ possible varves, and diamictite and dropstones with angular to rounded clasts from 2 lithological groups, some of which are facetted</t>
  </si>
  <si>
    <t>Weesenstein-Orellana/Cadomian</t>
  </si>
  <si>
    <t>Age constraints follow uncertainty of Linnemann et al 2018, though uncertain exactly which date(s) chosen for plot.</t>
  </si>
  <si>
    <t>Naburula Formation</t>
  </si>
  <si>
    <t>Following Hill et al 2021</t>
  </si>
  <si>
    <t>ND8a</t>
  </si>
  <si>
    <t>★★★★☆ diamictite with rounded clasts from 4 lithological groups, some of which are facetted or striated</t>
  </si>
  <si>
    <t>Numees Formation</t>
  </si>
  <si>
    <t>NA22b</t>
  </si>
  <si>
    <t>★★★★☆ possible varves, and diamictite and dropstones with subrounded clasts from 4 lithological groups</t>
  </si>
  <si>
    <t xml:space="preserve">No maximum age constraint. Minimum age constraint from overlying ("cap") carbonate Pb-Pb date. </t>
  </si>
  <si>
    <t>Oorabra Formation</t>
  </si>
  <si>
    <t>Following Hill et al 2011; Kruse et al 2013</t>
  </si>
  <si>
    <t>ND9b</t>
  </si>
  <si>
    <t>Orellana Formation</t>
  </si>
  <si>
    <t>Orellana tillite</t>
  </si>
  <si>
    <t>NE20</t>
  </si>
  <si>
    <t>★★☆☆☆ diamictite and dropstones with clasts of unreported roundness from one lithological group, some of which are facetted</t>
  </si>
  <si>
    <t>Ouarzazate Group</t>
  </si>
  <si>
    <t>Included as Izdar Member but these are separated here.</t>
  </si>
  <si>
    <t>Age follows Inglis et al 2004 dating of Bleida granodiorite (579.4 ± 1.2 Ma) and Youbi et al 2020 dating of Ouarzazate Group rhyodacite BP13 of 578.6 ± 4.8 Ma.</t>
  </si>
  <si>
    <t xml:space="preserve">Maximum and minimum age constraints from U-Pb zircons. </t>
  </si>
  <si>
    <t>Playa Hermosa Formation</t>
  </si>
  <si>
    <t>Paraguay Belt</t>
  </si>
  <si>
    <t>NG7</t>
  </si>
  <si>
    <t>★★★☆☆ rhythmite (possibly varves), and diamictite and dropstones with angular to subrounded clasts from 3 lithological groups</t>
  </si>
  <si>
    <t>Pourpree de l'Ahnet Group</t>
  </si>
  <si>
    <t>Poorly constrained</t>
  </si>
  <si>
    <t>NA4ab</t>
  </si>
  <si>
    <t>★★★★☆ varves, and diamictite and dropstones with angular to rounded clasts from 3 lithological groups, some of which are facetted or striated</t>
  </si>
  <si>
    <t xml:space="preserve">Maximum age constraint from U-Pb and Rb-Sr dating of granites. Minimum age constraint from tuff U-Pb and Ar-Ar dates. </t>
  </si>
  <si>
    <t>Rang Formation</t>
  </si>
  <si>
    <t>Dzetymtay Formation; Ran Formation</t>
  </si>
  <si>
    <t>NC17</t>
  </si>
  <si>
    <t>★★★☆☆ rhythmically laminated siltstones and sandstones (possibly varves), and diamictite with angular to rounded clasts from 4 lithological groups</t>
  </si>
  <si>
    <t xml:space="preserve">Possible Gaskiers assignment. </t>
  </si>
  <si>
    <t>Rockfish Conglomerate</t>
  </si>
  <si>
    <t>Lynchburg Group</t>
  </si>
  <si>
    <t>NF17</t>
  </si>
  <si>
    <t>★★★☆☆ rhythmite (possibly varves), and diamictite and dropstones with clasts of unreported roundness from one lithological group</t>
  </si>
  <si>
    <t>Serra Azul Unit A</t>
  </si>
  <si>
    <t>Amazonia</t>
  </si>
  <si>
    <t>Tentative assignment within large uncertainty of dates</t>
  </si>
  <si>
    <t>NG3b</t>
  </si>
  <si>
    <t>★★★★☆ rhythmites with tidal bundles, and diamictite with very angular to well-rounded clasts from 4 lithological groups, some of which are facetted or striated</t>
  </si>
  <si>
    <t>No age constraint details provided. No minimum age constraint.</t>
  </si>
  <si>
    <t>Palaeovalleys</t>
  </si>
  <si>
    <t>Shaohuotong Formation</t>
  </si>
  <si>
    <t>Shaohuotonggou Group</t>
  </si>
  <si>
    <t>Possibly older than 593 Ma following Tindal 2023.</t>
  </si>
  <si>
    <t>NC32</t>
  </si>
  <si>
    <t>Sliding Stones Slump Breccia</t>
  </si>
  <si>
    <t>Sliding Stones Breccia</t>
  </si>
  <si>
    <t>South Quarry Breccia</t>
  </si>
  <si>
    <t>Beacon Hill Formation</t>
  </si>
  <si>
    <t>NF19</t>
  </si>
  <si>
    <t>★★★★☆ possible varves, and diamictite and lonestones with angular to subrounded clasts from 4 lithological groups, some of which are striated</t>
  </si>
  <si>
    <t>Following age constraints of Thompson &amp; Bowring 2000 and Thompson et al 2014</t>
  </si>
  <si>
    <t>Maximum age from U-Pb date on tuff clast in diamictite. Minimum age given as ~570 Ma or younger?</t>
  </si>
  <si>
    <t>Deep marine</t>
  </si>
  <si>
    <t>Starye Pechi Formation</t>
  </si>
  <si>
    <t>NE29d</t>
  </si>
  <si>
    <t>★★★☆☆ diamictite and dropstones with clasts of unreported roundness from 2 lithological groups, some of which are striated</t>
  </si>
  <si>
    <t>Combined Starye Pechi and Sylvitsa Group; separated here and Sylvitsa Group not considered to be plausibly Gaskiers in age.</t>
  </si>
  <si>
    <t>Storeelv Formation</t>
  </si>
  <si>
    <t>Following Stouge et al 2011</t>
  </si>
  <si>
    <t>NF26b</t>
  </si>
  <si>
    <t>★★★★☆ small striated surfaces, and diamictite and dropstones with angular to rounded clasts from 4 lithological groups, some of which are striated</t>
  </si>
  <si>
    <t>Talisayi Formation</t>
  </si>
  <si>
    <t>NC21c</t>
  </si>
  <si>
    <t>★★★★☆ diamictite and dropstones with angular to rounded clasts from 3 lithological groups, some of which are striated</t>
  </si>
  <si>
    <t>Tany Formation</t>
  </si>
  <si>
    <t>NE29ab</t>
  </si>
  <si>
    <t>★★★★☆ diamictite and dropstones with clasts of unreported roundness from 4 lithological groups, some of which are striated (upper member). ★★☆☆☆ diamictite and dropstones with clasts of unreported roundness from one lithological group (lower member).</t>
  </si>
  <si>
    <t>Maximum age constraint from tuff zircon U-Pb. Minimum age constraint from tuff zircon U-Pb. Combined Tany, Koyva, and Lower Starye Pechi formations; separated here.</t>
  </si>
  <si>
    <t>Combined Tany and Koyva formations; separated here.</t>
  </si>
  <si>
    <t>Tiddiline Group</t>
  </si>
  <si>
    <t>NA1a</t>
  </si>
  <si>
    <t>★★★☆☆ possible varves, and diamictite with angular to rounded clasts from 2 lithological groups, some of which are facetted or striated</t>
  </si>
  <si>
    <t>Age constraints cite Letsch et al 2018</t>
  </si>
  <si>
    <t>Possibly but not explicitly included in Ouarzazate Group sediments.</t>
  </si>
  <si>
    <t>Maximum and minimum age constraints from U-Pb zircons.</t>
  </si>
  <si>
    <t>Tillery Formation</t>
  </si>
  <si>
    <t>NF21</t>
  </si>
  <si>
    <t>★★★★☆ diamictite and dropstones with well-rounded clasts from 3 lithological groups, some of which are striated</t>
  </si>
  <si>
    <t>Following age constraints of Pu et al 2016</t>
  </si>
  <si>
    <t>Ulveso Formation</t>
  </si>
  <si>
    <t>NF26a</t>
  </si>
  <si>
    <t>★★★☆☆ diamictite with angular to subrounded clasts from one lithological group, some of which are striated</t>
  </si>
  <si>
    <t>Vingerbreek Member</t>
  </si>
  <si>
    <t>Vingerbreek Unconformity; Nudaus Formation</t>
  </si>
  <si>
    <t>NA24</t>
  </si>
  <si>
    <t>★★★☆☆ a small gouged surface, and diamictite with clasts of unreported roundness from one lithological group, some of which are facetted or striated</t>
  </si>
  <si>
    <t>Identified as post-Gaskiers but no other age constraints given</t>
  </si>
  <si>
    <t xml:space="preserve">Maximum age constraint from underlying Zaris Formation tuff zircon U-Pb date. No minimum age constraint. </t>
  </si>
  <si>
    <t>Wegleszyn Tilloid</t>
  </si>
  <si>
    <t>Following Brochwicz-Lewinski 1981.</t>
  </si>
  <si>
    <t>NE23</t>
  </si>
  <si>
    <t>★★☆☆☆ diamictite and lonestones with rounded clasts from 3 lithological groups</t>
  </si>
  <si>
    <t>Weija Tillite</t>
  </si>
  <si>
    <t>Togo Formation</t>
  </si>
  <si>
    <t>Congo</t>
  </si>
  <si>
    <t>Following Trompette 1981</t>
  </si>
  <si>
    <t>NA12</t>
  </si>
  <si>
    <t>Wonoka Formation</t>
  </si>
  <si>
    <t>Xichangjing Formation</t>
  </si>
  <si>
    <t>Yardida Formation</t>
  </si>
  <si>
    <t>ND9a</t>
  </si>
  <si>
    <t>★★★★☆ diamictite with rounded to well-rounded clasts from 4 lithological groups, some of which are facetted or striated</t>
  </si>
  <si>
    <t>Zabit Formation</t>
  </si>
  <si>
    <t>Bokson Group; Bokson diamictite</t>
  </si>
  <si>
    <t>NC25</t>
  </si>
  <si>
    <t>★★★★☆ rhythmically bedded shales (possibly varves), and diamictite and dropstones with subangular to rounded clasts from 3 lithological groups, some of which are facetted or striated</t>
  </si>
  <si>
    <t xml:space="preserve">Age given as approximately 560 Ma following biostratigraphic and lithostratigraphic constraints. Note that stated biostratigraphic constraint = Cloudina in diamictite matrix which would generally imply an age &lt;550 Ma. </t>
  </si>
  <si>
    <t>Zhengmuguan Formation</t>
  </si>
  <si>
    <t>Zhengmugan Formation</t>
  </si>
  <si>
    <t>Assumption that deposition was close before fossil-bearing Tuerkeng Formation</t>
  </si>
  <si>
    <t>NC30</t>
  </si>
  <si>
    <t>★★☆☆☆ diamictite and dropstones with rounded clasts from 2 lithological groups</t>
  </si>
  <si>
    <t>Included in text alongside Luoquan diamictite.</t>
  </si>
  <si>
    <t>Zukow Formation</t>
  </si>
  <si>
    <t>NE22</t>
  </si>
  <si>
    <t>★★☆☆☆ diamictite with subangular to rounded clasts from 2 lithological groups, some of which are facetted</t>
  </si>
  <si>
    <t>Gaskiers diamictite</t>
  </si>
  <si>
    <t>Diamictite &gt;250 m thick at the St Mary's Bay section</t>
  </si>
  <si>
    <t>Diamictite &gt;30 m at Old Bonaventure</t>
  </si>
  <si>
    <t>Diamictite is 184 m thick here</t>
  </si>
  <si>
    <t>Broad spread of youngest five grains - could be as young as 551 Ma unless there is some Pb loss here</t>
  </si>
  <si>
    <t>lonestones</t>
  </si>
  <si>
    <t>glacial</t>
  </si>
  <si>
    <t>csl_type</t>
  </si>
  <si>
    <t>section_name</t>
  </si>
  <si>
    <t>deposit_name</t>
  </si>
  <si>
    <t>csl_occurrence_id</t>
  </si>
  <si>
    <t>deposit_id</t>
  </si>
  <si>
    <t>section_id</t>
  </si>
  <si>
    <t>d13c_excursion</t>
  </si>
  <si>
    <t>d13c_excursion_position</t>
  </si>
  <si>
    <t>sample_group</t>
  </si>
  <si>
    <t>sample_subgroup</t>
  </si>
  <si>
    <t>sample_formation</t>
  </si>
  <si>
    <t>sample_member</t>
  </si>
  <si>
    <t>sample_unit</t>
  </si>
  <si>
    <t>sample_bed</t>
  </si>
  <si>
    <t>reference1</t>
  </si>
  <si>
    <t>reference2</t>
  </si>
  <si>
    <t>reference3</t>
  </si>
  <si>
    <t>reference4</t>
  </si>
  <si>
    <t>deposit_synonyms_correlatives</t>
  </si>
  <si>
    <t>deposit_type</t>
  </si>
  <si>
    <t>craton</t>
  </si>
  <si>
    <t>likely_interval</t>
  </si>
  <si>
    <t>likely_interval_notes</t>
  </si>
  <si>
    <t>tindal_2023_included</t>
  </si>
  <si>
    <t>tindal_2023_id</t>
  </si>
  <si>
    <t>tindal_2023_age_max</t>
  </si>
  <si>
    <t>tindal_2023_age_max_unc</t>
  </si>
  <si>
    <t>tindal_2023_age_min</t>
  </si>
  <si>
    <t>tindal_2023_age_min_unc</t>
  </si>
  <si>
    <t>tindal_2023_evidence</t>
  </si>
  <si>
    <t>tindal_2023_notes</t>
  </si>
  <si>
    <t>youbi_2020_included</t>
  </si>
  <si>
    <t>youbi_2020_glaciation</t>
  </si>
  <si>
    <t>youbi_2020_age_max</t>
  </si>
  <si>
    <t>youbi_2020_age_min</t>
  </si>
  <si>
    <t>youbi_2020_notes</t>
  </si>
  <si>
    <t>retallack_2022_included</t>
  </si>
  <si>
    <t>retallack_2022_glaciation</t>
  </si>
  <si>
    <t>retallack_2022_age_max</t>
  </si>
  <si>
    <t>retallack_2022_age_min</t>
  </si>
  <si>
    <t>retallack_2022_notes</t>
  </si>
  <si>
    <t>wang_2023_included</t>
  </si>
  <si>
    <t>wang_2023_id</t>
  </si>
  <si>
    <t>wang_2023_age_max</t>
  </si>
  <si>
    <t>wang_2023_age_max_unc</t>
  </si>
  <si>
    <t>wang_2023_age_min</t>
  </si>
  <si>
    <t>wang_2023_age_min_unc</t>
  </si>
  <si>
    <t>wang_2023_glaciation</t>
  </si>
  <si>
    <t>wang_2023_notes</t>
  </si>
  <si>
    <t>niu_2024_included</t>
  </si>
  <si>
    <t>niu_2024_id</t>
  </si>
  <si>
    <t>niu_2024_facies</t>
  </si>
  <si>
    <t>niu_2024_glaciation</t>
  </si>
  <si>
    <t>niu_2024_age_max</t>
  </si>
  <si>
    <t>niu_2024_age_min</t>
  </si>
  <si>
    <t>niu_2024_notes</t>
  </si>
  <si>
    <t>limestone</t>
  </si>
  <si>
    <t>Cambrian</t>
  </si>
  <si>
    <t>Wilpena</t>
  </si>
  <si>
    <t>Dongpo</t>
  </si>
  <si>
    <t>upper Dongpo</t>
  </si>
  <si>
    <t>Tuerkeng</t>
  </si>
  <si>
    <t>Quanji</t>
  </si>
  <si>
    <t>Zhoujieshan</t>
  </si>
  <si>
    <t>upper Zhoujieshan</t>
  </si>
  <si>
    <t>Kushk</t>
  </si>
  <si>
    <t>Ibor</t>
  </si>
  <si>
    <t>Villarta</t>
  </si>
  <si>
    <t>Vestertana</t>
  </si>
  <si>
    <t>Stahpogieddi</t>
  </si>
  <si>
    <t>Indreelva</t>
  </si>
  <si>
    <t>supergroup</t>
  </si>
  <si>
    <t>group</t>
  </si>
  <si>
    <t>subgroup</t>
  </si>
  <si>
    <t>formation</t>
  </si>
  <si>
    <t>member</t>
  </si>
  <si>
    <t>unit</t>
  </si>
  <si>
    <t>reference5</t>
  </si>
  <si>
    <t>reference6</t>
  </si>
  <si>
    <t>reference7</t>
  </si>
  <si>
    <t>reference8</t>
  </si>
  <si>
    <t>Wonoka</t>
  </si>
  <si>
    <t>Shuram</t>
  </si>
  <si>
    <t>Bunyeroo</t>
  </si>
  <si>
    <t>Ediacaran &gt;575 Ma from later sill intrusion</t>
  </si>
  <si>
    <t>Local correlation with Croles Hill diamictite suggests the pair are bracketed within Gaskiers age</t>
  </si>
  <si>
    <t>Zircon U-Pb ion microprobe date from basic gabbroic cumulate sill intruding the diamictite</t>
  </si>
  <si>
    <t>Mid-Ediacaran &lt;582 Ma from underlying rhyolite</t>
  </si>
  <si>
    <t>Zircon U-Pb ion microprobe date from rhyodacite underlying the diamictite</t>
  </si>
  <si>
    <t>Local correlation with Gaskiers type section</t>
  </si>
  <si>
    <t>Ash bed zircon U-Pb CA-ID-TIMS sample OBJP-01 Rocky Harbour Formation circa 50 m above the diamictite</t>
  </si>
  <si>
    <t>U-Pb CA-ID-TIMS sample OBJP-03 Rocky Harbour Formation from zircons within the purple diamictite</t>
  </si>
  <si>
    <t>Ash bed zircon U-Pb CA-ID-TIMS sample B1552-42.2 Rocky Harbour Formation close under the diamictite</t>
  </si>
  <si>
    <t>Gaskiers type section</t>
  </si>
  <si>
    <t xml:space="preserve">Ash bed zircon U-Pb CA-ID-TIMS sample NoP-0.9 Drook Formation close over the diamictite </t>
  </si>
  <si>
    <t xml:space="preserve">Ash bed zircon U-Pb CA-ID-TIMS sample GCI-neg7.75 Mall Bay Formation close under the diamictite </t>
  </si>
  <si>
    <t xml:space="preserve">Ash bed zircon U-Pb CA-ID-TIMS sample GCI-neg6.55 Mall Bay Formation close under the diamictite </t>
  </si>
  <si>
    <t>CIE</t>
  </si>
  <si>
    <t>Bentonite zircon U-Pb CA-ID-TIMS date</t>
  </si>
  <si>
    <t>Detrital zircon U-Pb date from palaeosol developed on rhyodacitic tuff</t>
  </si>
  <si>
    <t>Tuff zircon U-Pb CA-ID-TIMS date</t>
  </si>
  <si>
    <t>Same as sample Otaci-1</t>
  </si>
  <si>
    <t>Same as sample Moh-1</t>
  </si>
  <si>
    <t>Three nearby samples combined to give weighted average age</t>
  </si>
  <si>
    <t>Three samples from same bentonite combined zircon U-Pb CA-ID-TIMS date</t>
  </si>
  <si>
    <t>Detrital zircon U-Pb date from mudstone in upper Lyadova Beds</t>
  </si>
  <si>
    <t>Detrital zircon U-Pb date from base of palaeosol</t>
  </si>
  <si>
    <t>Tuff zircon U-Pb CA-ID-TIMS date underlying diamictite</t>
  </si>
  <si>
    <t>Ediacaran 593 to 575 Ma</t>
  </si>
  <si>
    <t>Tiddiline diamictite</t>
  </si>
  <si>
    <t>Granite zircon U-Pb SHRIMP date from intrusion cross-cutting succession above Tiddiline/Bou Azzer diamictite regionally</t>
  </si>
  <si>
    <t>Mid Ediacaran likely Gaskiers</t>
  </si>
  <si>
    <t>Ash bed zircon Pb-Pb date from youngest concordant analysis in the sample with the possibility that this sample is younger</t>
  </si>
  <si>
    <t>Zircon Pb-Pb date with suggestion of some Pb loss from detrital zircon in Cambridge Argillite</t>
  </si>
  <si>
    <t>Youngest two detrital zircon weighted mean Pb-Pb age from the Squantum diamictite</t>
  </si>
  <si>
    <t>Zircon Pb-Pb date confirmed with Pb-U 235 and 238 dates on welded tuff clast within diamictite</t>
  </si>
  <si>
    <t>Zircon U-Pb date from crystal-poor tuff clast in diamictite supported by overlapping Pb-Pb date</t>
  </si>
  <si>
    <t>Zircon Pb-Pb date from porphyritic granophyre clast in diamictite</t>
  </si>
  <si>
    <t>Age refines that of Miller et al 2008 and confirms a post-Gaskiers deposition of the diamictite</t>
  </si>
  <si>
    <t>Zircon U-Pb date from ash bed in section 8 unit c circa 3m below the diamictite horizon e</t>
  </si>
  <si>
    <t>Deposit definitely younger than 599 Ma and possibly younger than 570 Ma</t>
  </si>
  <si>
    <t>U-Pb SHRIMP analyses on detrital zircon rim from green fine-grained sandstone within limestone sequence and below polymict conglomerate</t>
  </si>
  <si>
    <t>U-Pb SHRIMP analyses on detrital zircon core from green fine-grained sandstone within limestone sequence and below polymict conglomerate</t>
  </si>
  <si>
    <t>Zircon U-Pb CA-ID-TIMS date from diamictite sample</t>
  </si>
  <si>
    <t>Zircon U-Pb CA-ID-TIMS date from igneous zircon in ignimbrite from youngest single grain</t>
  </si>
  <si>
    <t>Zircon U-Pb CA-ID-TIMS date from diamictite sample from youngest single grain</t>
  </si>
  <si>
    <t>Zircon U-Pb LA-ICP-MS date from igneous zircon in ignimbrite</t>
  </si>
  <si>
    <t>Zircon U-Pb CA-ID-TIMS date from diamictite with possible reworking from youngest single grain</t>
  </si>
  <si>
    <t>Zircon U-Pb LA-ICP-MS from underlying quartzite</t>
  </si>
  <si>
    <t>Zircon U-Pb LA-ICP-MS from diamictite matrix</t>
  </si>
  <si>
    <t>Zircon U-Pb LA-ICP-MS from diamictite granitoid clast</t>
  </si>
  <si>
    <t>Zircon U-Pb LA-ICP-MS from intruded Dohna granodiorite</t>
  </si>
  <si>
    <t>Ediacaran &lt;562 Ma</t>
  </si>
  <si>
    <t>Detrital zircon LA-ICP-MS U-Pb age younger than overlying detrital zircons</t>
  </si>
  <si>
    <t>Detrital zircon LA-ICP-MS U-Pb age older than underlying detrital zircons</t>
  </si>
  <si>
    <t>Detrital zircon LA-ICP-MS U-Pb age from detrital zircon provides a minimum age for the upper tillite</t>
  </si>
  <si>
    <t>Post-depositional Pb-Pb date</t>
  </si>
  <si>
    <t>Ediacaran &lt;620 Ma</t>
  </si>
  <si>
    <t>Detrital U-Pb zircon date supported by Lu-Hf dates in underlying Rendalen Fm</t>
  </si>
  <si>
    <t>Unconformably overlies sample ALDG21</t>
  </si>
  <si>
    <t>Rhyolitic welded tuff zircon U-Pb SHRIMP date</t>
  </si>
  <si>
    <t>Unconformably underlies sample ALDG20</t>
  </si>
  <si>
    <t>volcanic breccia</t>
  </si>
  <si>
    <t>Volcanic breccia zircon U-Pb SHRIMP date</t>
  </si>
  <si>
    <t>Ignimbrite zircon U-Pb SHRIMP date</t>
  </si>
  <si>
    <t>Ediacaran ~560 Ma</t>
  </si>
  <si>
    <t>Zircon U-Pb LA-ICP-MS from sandstone detrital grains</t>
  </si>
  <si>
    <t>Babinski et al 2006 from Puga diamictite cap carbonate cited in Figueiredo 2010</t>
  </si>
  <si>
    <t>Additional dates with poor uncertainty are consistent with this sample</t>
  </si>
  <si>
    <t>Zircon U-Pb from volcanic tuff</t>
  </si>
  <si>
    <t>Granodiorite zircon U-Pb date from intrusion that is not observed to cross-cut the Tiddiline Group but is thought from regional structure to be younger than the Tiddiline diamictite</t>
  </si>
  <si>
    <t>Starye Pechi</t>
  </si>
  <si>
    <t>Zircon U-Pb LA-ICP-MS from alkali basalt</t>
  </si>
  <si>
    <t>Shuiquan</t>
  </si>
  <si>
    <t>Sandstone lense 1 m below top of diamictite</t>
  </si>
  <si>
    <t>Zircon U-Pb ion microprobe date from detrital zircons in sandstone lens near the top of the diamictite</t>
  </si>
  <si>
    <t>Dolomitised clast 0.5 m below top of diamictite</t>
  </si>
  <si>
    <t>Zircon U-Pb ion microprobe date from detrital zircons in dolomitised sediment near top of diamictite</t>
  </si>
  <si>
    <t>Pebbly sandstone ~1 m below top of diamictite</t>
  </si>
  <si>
    <t>Zircon U-Pb ion microprobe date from detrital zircons in pebbly sandstone diamictite</t>
  </si>
  <si>
    <t>Dolomitic sandstone near top of diamictite grading into cap carbonate</t>
  </si>
  <si>
    <t>Zircon U-Pb ion microprobe date from detrital zircons in dolomitic sandstone at top of diamictite</t>
  </si>
  <si>
    <t>Zircon U-Pb CA-ID-TIMS date from detrital zircons in dolomitic sandstone at top of diamictite</t>
  </si>
  <si>
    <t>sample_id</t>
  </si>
  <si>
    <t>Baykonur</t>
  </si>
  <si>
    <t>Chumakov 2011</t>
  </si>
  <si>
    <t>Wilcolo Creek</t>
  </si>
  <si>
    <t>Webb et al 1983</t>
  </si>
  <si>
    <t>Haines 1986</t>
  </si>
  <si>
    <t>Compston et al 1987</t>
  </si>
  <si>
    <t>Young 1995</t>
  </si>
  <si>
    <t>Wallace et al 1996</t>
  </si>
  <si>
    <t>Gostin et al 2010</t>
  </si>
  <si>
    <t>Williams &amp; Schmidt 2018</t>
  </si>
  <si>
    <t>Williams &amp; Schmidt 2021</t>
  </si>
  <si>
    <t>Parachilna Gorge</t>
  </si>
  <si>
    <t>Croles Hill</t>
  </si>
  <si>
    <t>Brown 1986a</t>
  </si>
  <si>
    <t>Brown 1986b</t>
  </si>
  <si>
    <t>Crawford &amp; Berry 1992</t>
  </si>
  <si>
    <t>Everard et al 2007</t>
  </si>
  <si>
    <t>Munta-1</t>
  </si>
  <si>
    <t>Officer Basin</t>
  </si>
  <si>
    <t>Ungoolya</t>
  </si>
  <si>
    <t>Dey Dey</t>
  </si>
  <si>
    <t>Murnaroo-1</t>
  </si>
  <si>
    <t>Lincoln Quadrangle</t>
  </si>
  <si>
    <t>Northern Virginia</t>
  </si>
  <si>
    <t>Lynchburg</t>
  </si>
  <si>
    <t>Wehr &amp; Glover 1985</t>
  </si>
  <si>
    <t>Marshall Quadrangle</t>
  </si>
  <si>
    <t>Eyles &amp; Eyles 1989</t>
  </si>
  <si>
    <t>Carto &amp; Eyles 2011a</t>
  </si>
  <si>
    <t>Fitzgerald et al 2024</t>
  </si>
  <si>
    <t>Great Colinet Island</t>
  </si>
  <si>
    <t>North Point Bay</t>
  </si>
  <si>
    <t>Inishowen Peninsula</t>
  </si>
  <si>
    <t>Southern Highlands</t>
  </si>
  <si>
    <t>Dalradian</t>
  </si>
  <si>
    <t>Inishowan beds</t>
  </si>
  <si>
    <t>Condon &amp; Prave 2000</t>
  </si>
  <si>
    <t>McCay et al 2006</t>
  </si>
  <si>
    <t>Chumakov 2007</t>
  </si>
  <si>
    <t>Prave &amp; Fallick 2011</t>
  </si>
  <si>
    <t>Biser</t>
  </si>
  <si>
    <t>Koyva</t>
  </si>
  <si>
    <t>Burgueno Quarry</t>
  </si>
  <si>
    <t>Maldonado</t>
  </si>
  <si>
    <t>Las Ventanas</t>
  </si>
  <si>
    <t>Sanchez Bettucci &amp; Linares 1996</t>
  </si>
  <si>
    <t>Blanco &amp; Gaucher 2005</t>
  </si>
  <si>
    <t>Oyhantcabal et al 2006</t>
  </si>
  <si>
    <t>Gaucher et al 2008</t>
  </si>
  <si>
    <t>Poire &amp; Gaucher 2009</t>
  </si>
  <si>
    <t>Pecoits et al 2011</t>
  </si>
  <si>
    <t>CUCPSA Quarry</t>
  </si>
  <si>
    <t>Tayvallich Peninsula</t>
  </si>
  <si>
    <t>upper Mall Bay</t>
  </si>
  <si>
    <t>Mortensnes</t>
  </si>
  <si>
    <t>Rice et al 2011</t>
  </si>
  <si>
    <t>Marzagao</t>
  </si>
  <si>
    <t>Alvarenga et al 2007</t>
  </si>
  <si>
    <t>Figuerido 2010</t>
  </si>
  <si>
    <t>Figuerido et al 2011</t>
  </si>
  <si>
    <t>McGee et al 2013</t>
  </si>
  <si>
    <t>McGee et al 2015</t>
  </si>
  <si>
    <t>Quincy Bay</t>
  </si>
  <si>
    <t>Boston Basin</t>
  </si>
  <si>
    <t>Roxbury Conglomerate; Squantum tillite</t>
  </si>
  <si>
    <t>Sayles 1914</t>
  </si>
  <si>
    <t>Dott 1961</t>
  </si>
  <si>
    <t>Tierney et al 1968</t>
  </si>
  <si>
    <t>Socci &amp; Smith 1990</t>
  </si>
  <si>
    <t>Thompson et al 2007</t>
  </si>
  <si>
    <t>Carto &amp; Eyles 2012</t>
  </si>
  <si>
    <t>Guozigou-Keguqing</t>
  </si>
  <si>
    <t>Kailaktik</t>
  </si>
  <si>
    <t>Talysayi Formation</t>
  </si>
  <si>
    <t>Wang et al 1983</t>
  </si>
  <si>
    <t>Zhu &amp; Wang 2011</t>
  </si>
  <si>
    <t>He et al 2014</t>
  </si>
  <si>
    <t>Anti-Atlas Mountains</t>
  </si>
  <si>
    <t>Timzioura</t>
  </si>
  <si>
    <t>Trinity Bay</t>
  </si>
  <si>
    <t>Trinity facies</t>
  </si>
  <si>
    <t>Normore 2011</t>
  </si>
  <si>
    <t>Trinity Pond</t>
  </si>
  <si>
    <t>Cat Cove</t>
  </si>
  <si>
    <t>Zhao et al 1984</t>
  </si>
  <si>
    <t>Hanshan West</t>
  </si>
  <si>
    <t>PIII</t>
  </si>
  <si>
    <t>composite_section_id</t>
  </si>
  <si>
    <t>composite_section_name</t>
  </si>
  <si>
    <t>Al-Husseini 2011</t>
  </si>
  <si>
    <t>Al-Husseini, M.I. 2014. Proposed correlation of Oman’s Abu Mahara Supergroup and Saudi Arabia’s Jibalah Group. GeoArabia, 19, 17–48, https://doi.org/10.2113/geoarabia190217.</t>
  </si>
  <si>
    <t>Hibbard, J., McMenamin, M., et al. 2006. Significance of a new Ediacaran fossil find in the Carolina Terrane of North Carolina. Geological Society of America Abstracts with Programs. 2006b, 38, 91.</t>
  </si>
  <si>
    <t>Hibbard, J.P., Pollock, J.C., Brennan, M., Samson, S.D. and Secor, D. 2009. Significance of New Ediacaran Fossils and U‐Pb Zircon Ages from the Albemarle Group, Carolina Terrane of North Carolina. The Journal of Geology, 117, 487–498, https://doi.org/10.1086/600863.</t>
  </si>
  <si>
    <t>Weaver, P.G., McMenamin, M.A.S. and Tacker, R.C. 2006. Paleoenvironmental and paleobiogeographic implications of a new Ediacaran body fossil from the Neoproterozoic Carolina Terrane, Stanly County, North Carolina. Precambrian Research, 150, 123–135, https://doi.org/10.1016/j.precamres.2006.07.002.</t>
  </si>
  <si>
    <t>Nettle, D., Halverson, G.P., et al. 2014. A middle–late Ediacaran volcano-sedimentary record from the eastern Arabian-Nubian shield. Terra Nova, 26, 120–129, https://doi.org/10.1111/ter.12077.</t>
  </si>
  <si>
    <t>below</t>
  </si>
  <si>
    <t>Radiometric date</t>
  </si>
  <si>
    <t>Igneous zircon U-Pb CA-TIMS date on porphyritic microgranite in the basement below the Rubtayn Formation</t>
  </si>
  <si>
    <t>Sample from basement beneath candidate glaciogenic deposit.</t>
  </si>
  <si>
    <t>contemporaneous</t>
  </si>
  <si>
    <t>Igneous zircon U-Pb LA-ICP-MS date.</t>
  </si>
  <si>
    <t>above</t>
  </si>
  <si>
    <t>Biostratigraphy</t>
  </si>
  <si>
    <t>Overyling Kokbulak and Koktal formations contain early Cambrian fossils</t>
  </si>
  <si>
    <t>Kokbulak</t>
  </si>
  <si>
    <t>Detrital zircon U-Pb LA-ICP-MS date from diamictite matrix</t>
  </si>
  <si>
    <t>Diamictite correlated with the Baykonur Formation</t>
  </si>
  <si>
    <t>Billy Springs Formation underlies the Rawnsley Quartzite including the fossiliferous Ediacara Member which is of late Ediacaran age.</t>
  </si>
  <si>
    <t>Jenkins 2011</t>
  </si>
  <si>
    <t>13C</t>
  </si>
  <si>
    <t>below deposit</t>
  </si>
  <si>
    <t>Date from Busch et al 2023 in Gametrail Formation; Shuram-correlated Wonoka excursion in the underlying Wonoka Formation.</t>
  </si>
  <si>
    <t>From overlying Volyn Group.</t>
  </si>
  <si>
    <t>Likely Cryogenian following Francovschi et al 2023; 2024</t>
  </si>
  <si>
    <t>Below lowest occurring Cambrian body fossils in the Forteau Formation and earliest Cambrian trace fossils in the Bradore Formation</t>
  </si>
  <si>
    <t>Swett 1981</t>
  </si>
  <si>
    <t>Knight et al 2017</t>
  </si>
  <si>
    <t>above deposit</t>
  </si>
  <si>
    <t>Wonoka excursion correlated to the Shuram excursion begins in the Wonoka Formation above the Bunyeroo Formation</t>
  </si>
  <si>
    <t>Correlation</t>
  </si>
  <si>
    <t xml:space="preserve">Stratigraphically above latest Cryogenian strata. </t>
  </si>
  <si>
    <t>Ar-Ar date on HP metamorphic amphibole generation in metagabbro</t>
  </si>
  <si>
    <t>Minimum age of island arc accretion metamorphism.</t>
  </si>
  <si>
    <t>Ar-Ar date on LP amphibole generation in metagabbro associated with ocean crust creation. Note also slightly younger age plateau at 600 ± 7 Ma.</t>
  </si>
  <si>
    <t xml:space="preserve">Minimum age of ocean crust formation beneath diamictite. </t>
  </si>
  <si>
    <t>U-Pb date on siliciclastic fraction of Sholtzberg Member dolostone likely to be driven mostly by detrital zircon components.</t>
  </si>
  <si>
    <t xml:space="preserve">Maximum depositional age from micro-zircons. </t>
  </si>
  <si>
    <t>Zircon U-Pb LA-ICP-MS from Laas granodiorite</t>
  </si>
  <si>
    <t xml:space="preserve">Laas granodiorite may have intruded the Clanzschwitz Group but this relationship is not clear from the presented maps. There is no evidence presented that it intrudes Clanzschwitz Member 3 but it may have metamorphosed Member 1 (Linnemann et al 2018; but see Kuhnemann et al 2024). </t>
  </si>
  <si>
    <t>Detrital monazite Th-U-Pb date from diamictite</t>
  </si>
  <si>
    <t>Local correlation with Cottons Breccia suggests the pair could be bracketed within Gaskiers age</t>
  </si>
  <si>
    <t>Wonoka excursion correlated to the Shuram excursion begins in the Wonoka Formation above the Dey Dey Mudstone by regional correlation</t>
  </si>
  <si>
    <t>Correlated with the Bunyeroo Formation which is stratigraphically above known terminal Cryogenian deposits.</t>
  </si>
  <si>
    <t>Ediacaran fossils, notably a holdfast disc and possible effaced fronds, found several metres above the diamicitite.</t>
  </si>
  <si>
    <t>middle to upper Dhaiqa</t>
  </si>
  <si>
    <t>Zircon U-Pb CA-ID-TIMS date from uppermost Miaohe Member</t>
  </si>
  <si>
    <t>Date constraining top of Doushantuo Formation</t>
  </si>
  <si>
    <t>EN3</t>
  </si>
  <si>
    <t>EN3 excursion correlated to Shuram excursion which is radiometrically dated elsewhere. EN3 excursion onset is above the highest occurrence of glendonites in any Doushantuo Formation section.</t>
  </si>
  <si>
    <t>EN2</t>
  </si>
  <si>
    <t>EN2 excursion below the EN3 excursion and correlated to end-Gaskiers time though this is not a well constrained correlation.</t>
  </si>
  <si>
    <t>Wholerock shale Re-Os date from middle of Doushantuo Formataion Member II</t>
  </si>
  <si>
    <t>Note that correlation with other sections is debatable; following Yang et al 2021 here who follow Zhu et al 2013 who correlated this level to EN1.5 whereas Ouyang et al 2019 correlate this level to between EN1.5 and EN2 in Zhangcunping.</t>
  </si>
  <si>
    <t>Date from Jiulongwan section (Yang et al 2021) that does not have glendonites (Wang et al 2020) but is correlated by d13C stratigraphy via position in EP1 and being below EP2 to sections which do have glendonites at about this level.</t>
  </si>
  <si>
    <t>Zircon U-Pb SIMS date from ash bed at base of Doushantuo Formation Unit 5</t>
  </si>
  <si>
    <t>Ash bed at base of Unit 5 close above unconformity at base of Unit 4. Unit 3 has EN1.5.</t>
  </si>
  <si>
    <t>Zircon U-Pb CA-ID-TIMS date from ash bed with detrital zircon population at the base of Doushantuo Formation Unit 5</t>
  </si>
  <si>
    <t>Igneous zircon U-Pb date on granite basement</t>
  </si>
  <si>
    <t>Igneous zircon U-Pb date on intruding dolerite dyke.</t>
  </si>
  <si>
    <t>Ediacaran fossils including Avalon and White Sea morphogroups recovered from strata around the diamictite in the Kushk Shale unit but precise relationshipt with the diamictite is not known.</t>
  </si>
  <si>
    <t>Esfordi</t>
  </si>
  <si>
    <t>Mohseni &amp; Aftabi 2015</t>
  </si>
  <si>
    <t>McCall 2006</t>
  </si>
  <si>
    <t>Zircon U-Pb TIMS date from tuff bed.</t>
  </si>
  <si>
    <t>Tuff bed in basalt flows near base of Catoctin Formation close above the top of the Fauquier Formation.</t>
  </si>
  <si>
    <t>Igneous zircon U-Pb date from volcanic tuff in Teniagouri Group overlying Jbeliat Group which is correlated with the Fersiga Group</t>
  </si>
  <si>
    <t xml:space="preserve">The Teniagouri Group is regionally correlated with the Azlaf Group which overlies the Fersiga Group. </t>
  </si>
  <si>
    <t>Detrital zircon U-Pb SIMS date from South Stack Group</t>
  </si>
  <si>
    <t>Holland Arms gneiss Rb-Sr wholerock isochron</t>
  </si>
  <si>
    <t>Detrital zircon LA-ICP-MS date from Llanddwyn Island.</t>
  </si>
  <si>
    <t>Stratigraphic position with respect to the diamictite unit unspecified but this is the closest geographical date.</t>
  </si>
  <si>
    <t>Cambrian acritarchs recovered from the overlying Xishanblaq Formation</t>
  </si>
  <si>
    <t>Xishanblaq</t>
  </si>
  <si>
    <t>Xiao et al 2004</t>
  </si>
  <si>
    <t>Yao et al 2005</t>
  </si>
  <si>
    <t>Date from Busch et al 2023 in Gametrail Formation; EN3/Shuram-correlated excursion below Hankalchough Formation</t>
  </si>
  <si>
    <t>d13C values less than -10 per mille reported from the Shuiquan Formation beneath the Hankalchough diamictite.</t>
  </si>
  <si>
    <t>SHRIMP U-Pb date on zircons from andesite lava</t>
  </si>
  <si>
    <t>Date from andesite lava between the Tereeken and Hankalchough diamictites</t>
  </si>
  <si>
    <t>Shaanxilithes fossils recovered from upper Zhoujieshan Formation which overlies the Hongtiegou Formation. More than 20 m of sandstone separates the last diamictites from the first Shaanxilithes fossils.</t>
  </si>
  <si>
    <t>Wang et al 2021 JAES</t>
  </si>
  <si>
    <t>Detrital zircon U-Pb date from sandstone</t>
  </si>
  <si>
    <t>Detrital zircon U-Pb date from diamictite matrix</t>
  </si>
  <si>
    <t>Igneous zircon U-Pb date from igneous rocks overlying the Tayvallach Formation and correlated with the Inishowen Beds.</t>
  </si>
  <si>
    <t>Correlation may not be robust.</t>
  </si>
  <si>
    <t>Igneous zircon U-Pb SHRIMP date from igneous rocks underlying the Inishowen Beds.</t>
  </si>
  <si>
    <t>Igneous zircon U-Pb SHRIMP date from metamorphosed volcanic rock directly beneath the diamictite</t>
  </si>
  <si>
    <t>Possibly from beneath a fault contact.</t>
  </si>
  <si>
    <t>Detrital zircon U-Pb SHRIMP date from granite clast within the diamictite</t>
  </si>
  <si>
    <t>Regional correlation with the Baykonur Formation</t>
  </si>
  <si>
    <t>Kheraskova 1981</t>
  </si>
  <si>
    <t>Ignimbrite near the base of the Ouarzazate Group</t>
  </si>
  <si>
    <t>Zircon U-PB SHRIMP date from igneous zircons from top Ouarzazate Group at Bou Azzer</t>
  </si>
  <si>
    <t>Top of the Ouarzazate Group volcanic pile in Tazegzaout section Bou Azzer Inlier.</t>
  </si>
  <si>
    <t>Ignimbrite near base of Izdar Member</t>
  </si>
  <si>
    <t>Starye Pechi; Koyva; and Tany are three separate diamictites separated by other formations but are collectively bracketed by two good zircon U-Pb dates that give all of them a plausibly Gaskiers age</t>
  </si>
  <si>
    <t xml:space="preserve">Possible Shuram excursion d13C values in the Buton, Kernos, and Starye Pechi formations. </t>
  </si>
  <si>
    <t>upper Starye Pechi</t>
  </si>
  <si>
    <t>Olistoliths have been sampled for d13C</t>
  </si>
  <si>
    <t>Kernos</t>
  </si>
  <si>
    <t>Buton</t>
  </si>
  <si>
    <t>Igneous zircon U-Pb SHRIMP date from Arsha Group</t>
  </si>
  <si>
    <t>Precise stratigraphic relationship to the Kurgashlya Formation unclear</t>
  </si>
  <si>
    <t>Assigned by these authors to "latest Riphean".</t>
  </si>
  <si>
    <t>Rb-Sr wholerock date on syenite intruding into the Las Ventanas Formation</t>
  </si>
  <si>
    <t>Ar-Ar syenite hornblende date from the Pan de Azucar pluton</t>
  </si>
  <si>
    <t>SHRIMP zircon U-Pb date on zircons from metabasalt in underlying Lavalleja Group</t>
  </si>
  <si>
    <t>This is the youngest date for the Lavalleja Group which the Maldonado Group unconformably overlies; most of the Lavalleja Group dates are much older</t>
  </si>
  <si>
    <t>Shaanxilithes fossils recovered from upper Dongpo Formation which overlies the Luoquan Formation. More than 40 m of siliciclastics separates the last diamictites from the first Shaanxilithes fossils.</t>
  </si>
  <si>
    <t xml:space="preserve">Ash bed zircon U-Pb CA-ID-TIMS sample GCI-neg7.75 Mall Bay Formation close under the Gaskiers Formation diamictite </t>
  </si>
  <si>
    <t xml:space="preserve">Ash bed zircon U-Pb CA-ID-TIMS sample GCI-neg6.55 Mall Bay Formation close under the Gaskiers Formation diamictite </t>
  </si>
  <si>
    <t>ID-TIMS welded tuff zircon U-Pb date</t>
  </si>
  <si>
    <t>Sample from upper Harbour Main Group which is unconformable below the Conception Group including the Mall Bay Formation</t>
  </si>
  <si>
    <t>Detrital zircon U-Pb LA-ICP-MS date from sandstone of Marnya Formation</t>
  </si>
  <si>
    <t>Sample from Marnya Formation sandstone overlying the diamictite; date in agreement with further overlying detrital zircon dates</t>
  </si>
  <si>
    <t>Igneous zircon U-Pb TIMS date from syenite.</t>
  </si>
  <si>
    <t xml:space="preserve">Zircons from youngest population of Robertson River Igneous Suite which is interbedded with Mehcum River Formation. </t>
  </si>
  <si>
    <t>Igneous zircon U-Pb TIMS date from granite.</t>
  </si>
  <si>
    <t xml:space="preserve">Shuram CIE nadir values (-10 ‰) recovered from strata close below the diamicitite give a depositional age for the diamictite of younger than the nadir of the Shuram excursion. </t>
  </si>
  <si>
    <t>Nyborg</t>
  </si>
  <si>
    <t>Member E</t>
  </si>
  <si>
    <t xml:space="preserve">Shuram CIE nadir values (-10 ‰) recovered from dolostone clasts within the diamictite give a depositional age for the diamictite of younger than the nadir of the Shuram excursion. </t>
  </si>
  <si>
    <t xml:space="preserve">Ediacaran fossils recovered from strata overlying the diamictite and below the identified Ediacaran/Cambrian boundary. </t>
  </si>
  <si>
    <t>Agic et al 2024</t>
  </si>
  <si>
    <t>Carbonate Pb-Pb isochron date</t>
  </si>
  <si>
    <t>Cloudinids reported from the Villarta Formation stratigraphically above the Orellana Formation.</t>
  </si>
  <si>
    <t>Palacios 2024</t>
  </si>
  <si>
    <t>Youngest detrital zircon U-Pb SHRIMP date from sandstone in the Upper Alcudian sub-group</t>
  </si>
  <si>
    <t>Above the Intra-Alcudian unconformity</t>
  </si>
  <si>
    <t>Igneous zircon SHRIMP date on porphyritic basalt at base of Adoudou Formation</t>
  </si>
  <si>
    <t>Basalt at base of Adoudou Formation close above top of Ouarzazate Group</t>
  </si>
  <si>
    <t>Unconformably overlies sample ALDG21; from basal Ouarzazate Group below glaciation evidence</t>
  </si>
  <si>
    <t>Ignimbrite zircon U-Pb LA-ICP-MS concordia age from the youngest zircon population</t>
  </si>
  <si>
    <t>Basal ignimbrite of the Ouarzazate Group in Imiter section</t>
  </si>
  <si>
    <t>Detrital zircon U-Pb LA-ICP-MS concordia age from youngest zircon population</t>
  </si>
  <si>
    <t>Detrital zircon from uppermost M'Gouna Group or basal Ouarzazate Group below any potential glacial deposits</t>
  </si>
  <si>
    <t>Igneous zircon U-Pb SHRIMP date from microsyenite intruding the upper Playa Hermosa Formation</t>
  </si>
  <si>
    <t>Igneous zircon U-Pb SHRIMP date from El Tambo Formation flow-banded rhyolite</t>
  </si>
  <si>
    <t>Igneous zircon U-Pb SHRIMP date from syenite intruding the Playa Hermosa Formation</t>
  </si>
  <si>
    <t>Youngest single grain detrital zircon U-Pb SHRIMP date from basal Playa Hermosa Formatin</t>
  </si>
  <si>
    <t>Kokbulak and Koktal formations substanially further up stratigraphy contain early Cambrian fossils</t>
  </si>
  <si>
    <t>Diamictite correlated with the Baykonur Formation which may overlie the Rang/Ran Formation</t>
  </si>
  <si>
    <t>Rockfish Conglomerate (basal Lynchburg Group/Lynchburg Formation) is stratigraphically below the Mechum River Formation</t>
  </si>
  <si>
    <t>Detrital zircon U-Pb LA-ICP-MS date; youngest grain in population</t>
  </si>
  <si>
    <t>in deposit</t>
  </si>
  <si>
    <t>Underlying Kernos and Buton formations and the upper Starye Pechi have negative carbon isotope values consistent with Shuram values.</t>
  </si>
  <si>
    <t>Detrital zircon U-Pb LA-ICP-MS date from 8 youngest concordant zircons.</t>
  </si>
  <si>
    <t>Igneous zircon U-Pb SHRIMP date on rhyolite tuff below Tillery Formation</t>
  </si>
  <si>
    <t>Unit below the Tillery Formation</t>
  </si>
  <si>
    <t>Igneous zircon U-Pb TIMS date on volcanic unit in Flat Swamp Member</t>
  </si>
  <si>
    <t>Unit above the Tillery Formation</t>
  </si>
  <si>
    <t>Ediacaran fossils reported from overlying Cid Formatin</t>
  </si>
  <si>
    <t>Igneous zircon CA-TIMS date on ash bed previously examined by Grotzinger et al 1995.</t>
  </si>
  <si>
    <t>From falling limb of positive CIE above the lower Kuibis Subgroup unconformity.</t>
  </si>
  <si>
    <t>Igneous zircon CA-ID-TIMS date on ash bed in lowermost Vingerbreek Member.</t>
  </si>
  <si>
    <t>Lower Vingerbreek Member.</t>
  </si>
  <si>
    <t>Above the OMkyk positive Excursion (OME) and below the SPItskop positive Excursion (SPIE) in a poorly constrained interval that is overall calibrated to between 546.4 to 545.3 Ma.</t>
  </si>
  <si>
    <t>Bowyer et al 2023</t>
  </si>
  <si>
    <t>Detrital zircon U-Pb LA-ICP-MS date; maximum depositional age esimtate</t>
  </si>
  <si>
    <t>Sandstone in Pochengshan Formation unconformable over Xichangjing Formation</t>
  </si>
  <si>
    <t>Sandstone in Shuangyingshan Formation unconformable over Xichangjing Formation</t>
  </si>
  <si>
    <t>Sandstone in upper Xichangjing Formation above diamictite units</t>
  </si>
  <si>
    <t>Clast-rich diamictite from lower Xichangjing Formation</t>
  </si>
  <si>
    <t>Matrix-rich diamictite from upper Xichangjing Formation</t>
  </si>
  <si>
    <t>Sandstone at the top of the Xichangjing Formation above diamictite units</t>
  </si>
  <si>
    <t>Matrix-rich diamictite from mid Xichangjing Formation</t>
  </si>
  <si>
    <r>
      <t>Cloudina</t>
    </r>
    <r>
      <rPr>
        <sz val="11"/>
        <color theme="1"/>
        <rFont val="Calibri"/>
        <family val="2"/>
        <scheme val="minor"/>
      </rPr>
      <t xml:space="preserve"> reported from limestone clasts in a diamictite above the glaciogenic basal diamictite</t>
    </r>
  </si>
  <si>
    <t>Bokson</t>
  </si>
  <si>
    <t>Zabit</t>
  </si>
  <si>
    <r>
      <rPr>
        <i/>
        <sz val="11"/>
        <color theme="1"/>
        <rFont val="Calibri"/>
        <family val="2"/>
        <scheme val="minor"/>
      </rPr>
      <t>Cloudina</t>
    </r>
    <r>
      <rPr>
        <sz val="11"/>
        <color theme="1"/>
        <rFont val="Calibri"/>
        <family val="2"/>
        <scheme val="minor"/>
      </rPr>
      <t xml:space="preserve"> fossils found above the unit generally described as glaciogenic but I have not been able to observe the </t>
    </r>
    <r>
      <rPr>
        <i/>
        <sz val="11"/>
        <color theme="1"/>
        <rFont val="Calibri"/>
        <family val="2"/>
        <scheme val="minor"/>
      </rPr>
      <t>Cloudina</t>
    </r>
    <r>
      <rPr>
        <sz val="11"/>
        <color theme="1"/>
        <rFont val="Calibri"/>
        <family val="2"/>
        <scheme val="minor"/>
      </rPr>
      <t xml:space="preserve"> specimens or to see them in full stratigraphic context. Cambrian fossils are found in the overlying formations.</t>
    </r>
  </si>
  <si>
    <t>Shaanxilithes fossils recovered from upper Tuerkeng Formation which overlies the Zhengmuguan Formation. More than 50 m of siliciclastics separates the last diamictites from the first Shaanxilithes fossils.</t>
  </si>
  <si>
    <t>upper Tuerkeng</t>
  </si>
  <si>
    <t>Palaeosol level regionally correlated to the same level as the Slutsky-Kholonevychi diamictite; &gt;400 m stratigraphically above the Zukow Formation</t>
  </si>
  <si>
    <t>constraint_position</t>
  </si>
  <si>
    <t>constraint_type</t>
  </si>
  <si>
    <t>additional_notes</t>
  </si>
  <si>
    <t>radiometric_date_notes</t>
  </si>
  <si>
    <t>radiometric_date_ma</t>
  </si>
  <si>
    <t>radiometric_date_ma_x</t>
  </si>
  <si>
    <t>radiometric_date_ma_y</t>
  </si>
  <si>
    <t>radiometric_date_ma_z</t>
  </si>
  <si>
    <t>radiometric_date_ma_mswd</t>
  </si>
  <si>
    <t>radiometric_date_description</t>
  </si>
  <si>
    <t>radiometric_date_method</t>
  </si>
  <si>
    <t>radiometric_date_mineral</t>
  </si>
  <si>
    <t>radiometric_date_gts2020_id</t>
  </si>
  <si>
    <t>constraint_date_type</t>
  </si>
  <si>
    <t>constraint_date_system</t>
  </si>
  <si>
    <t>constraint_age_ma</t>
  </si>
  <si>
    <t>constraint_age_ma_unc</t>
  </si>
  <si>
    <t>constraint_date_lithology</t>
  </si>
  <si>
    <t>Kühnemann, V., Meinhold, G., Schulz, B., Gilbricht, S., Weber, S. and Wemmer, K. 2024. The “greywacke problem” explored in the neoproterozoic of Saxo-Thuringia: new insights into sediment composition and metamorphic overprint. International Journal of Earth Sciences, https://doi.org/10.1007/s00531-024-02475-x.</t>
  </si>
  <si>
    <t>Chumakov 2011c</t>
  </si>
  <si>
    <t>Chumakov, N.M. 2011b. Chapter 24 The Neoproterozoic glacial formations of the North and Middle Urals. In: Arnaud, E., Halverson, G. P. and Shields-Zhou, G. (eds) The Geological Record of Neoproterozoic Glaciations. Geological Society, London, Memoirs36, 289–296., https://doi.org/10.1144/M36.23.</t>
  </si>
  <si>
    <t>Chumakov, N.M. 2011a. Chapter 23 Glacial deposits of the Bokson Group, East Sayan Mountains, Buryatian Republic, Russian Federation. In: Arnaud, E., Halverson, G. P. and Shields-Zhou, G. (eds) The Geological Record of Neoproterozoic Glaciations. Geological Society, London, Memoirs36, 285–288., https://doi.org/10.1144/M36.23.</t>
  </si>
  <si>
    <t>Chumakov, N.M. 2011c. Chapter 26 Glacial deposits of the Baykonur Formation, Kazakhstan and Kyrgyzstan. In: Arnaud, E., Halverson, G. P. and Shields-Zhou, G. (eds) The Geological Record of Neoproterozoic Glaciations. Geological Society, London, Memoirs36, 303–307., https://doi.org/10.1144/M36.23.</t>
  </si>
  <si>
    <t>Chumakov 2011a</t>
  </si>
  <si>
    <t>Chumakov 2011b</t>
  </si>
  <si>
    <t>Baikonur Formation; Dzetymtay Formation; Rang Formation [sic]</t>
  </si>
  <si>
    <t>Fitzgerald, D.M., Narbonne, G.M., Pufahl, P.K. and Dalrymple, R.W. 2024. The Mall Bay Formation (Ediacaran) and the protracted onset of the Gaskiers glaciation in Newfoundland, Canada. Precambrian Research, 405, 107369, https://doi.org/10.1016/j.precamres.2024.107369.</t>
  </si>
  <si>
    <t>Rojas-Agramonte, Y., Kröner, A., et al. 2014. Detrital and igneous zircon ages for supracrustal rocks of the Kyrgyz Tianshan and palaeogeographic implications. Gondwana Research, 26, 957–974, https://doi.org/10.1016/j.gr.2013.09.005.</t>
  </si>
  <si>
    <t>Pecoits, E., Gingras, M.K. and Konhauser, K.O. 2011. Chapter 53 Las Ventanas and San Carlos formations, Maldonado Group, Uruguay. Geological Society, London, Memoirs, 36, 555–564, https://doi.org/10.1144/M36.53.</t>
  </si>
  <si>
    <t>Mallmann, G., Chemale, F., Ávila, J.N., Kawashita, K. and Armstrong, R.A. 2007. Isotope geochemistry and geochronology of the Nico Pérez Terrane, Rio de la Plata Craton, Uruguay. Gondwana Research, 12, 489–508, https://doi.org/10.1016/j.gr.2007.01.002.</t>
  </si>
  <si>
    <t>Gaucher, C., Blanco, G., Chiglino, L., Poiré, D. and Germs, G.J.B. 2008. Acritarchs of Las Ventanas Formation (Ediacaran, Uruguay): Implications for the timing of coeval rifting and glacial events in western Gondwana. Gondwana Research, 13, 488–501, https://doi.org/10.1016/j.gr.2007.05.008.</t>
  </si>
  <si>
    <t>Bossi, J., Cingolani, C.A., Llambías, E.J., Varela, R. and Campal, N. 1993. Características del magmatismo post-orogénico finibrasiliano en el Uruguay: formaciones Sierra de Ríos y Sierra de Ánimas. Brazilian Journal of Geology, 23, no. 3, https://doi.org/10.5327/rbg.v23i3.469.</t>
  </si>
  <si>
    <t>Oyhantçabal, P., Siegesmund, S., Wemmer, K., Frei, R. and Layer, P. 2007. Post-collisional transition from calc-alkaline to alkaline magmatism during transcurrent deformation in the southernmost Dom Feliciano Belt (Braziliano–Pan-African, Uruguay). Lithos, 98, 141–159, https://doi.org/10.1016/j.lithos.2007.03.001.</t>
  </si>
  <si>
    <t>Kawai, T., Windley, B., Terabayashi, M., Yamamoto, H., Isozaki, Y. and Maruyama, S. 2008. Neoproterozoic glaciation in the mid-oceanic realm: An example from hemi-pelagic mudstones on Llanddwyn Island, Anglesey, UK. Gondwana Research, 14, 105–114, https://doi.org/10.1016/j.gr.2007.12.008.</t>
  </si>
  <si>
    <t>Condon, D.J. and Prave, A.R. 2000. Two from Donegal: Neoproterozoic glacial episodes on the northeast margin of Laurentia. Geology, 28, 951–954, https://doi.org/10.1130/0091-7613(2000)28&lt;951:TFDNGE&gt;2.0.CO;2.</t>
  </si>
  <si>
    <t>Prave, A.R. and Fallick, A.E. 2011. The Neoproterozoic glaciogenic deposits of Scotland and Ireland. In: Arnaud, E., Halverson, G. P. and Shields-Zhou, G. (eds) The Geological Record of Neoproterozoic Glaciations. 0., https://doi.org/10.1144/M36.63.</t>
  </si>
  <si>
    <t>Nystuen, J.P. and Lamminen, J.T. 2011. Neoproterozoic glaciation of South Norway: from continental interior to rift and pericratonic basins in western Baltica. In: Arnaud, E., Halverson, G. P. and Shields-Zhou, G. (eds) The Geological Record of Neoproterozoic Glaciations. 0., https://doi.org/10.1144/M36.59.</t>
  </si>
  <si>
    <t>Rice, A.H.N., Edwards, M.B., Hansen, T.A., Arnaud, E. and Halverson, G.P. 2011. Chapter 57 Glaciogenic rocks of the Neoproterozoic Smalfjord and Mortensnes formations, Vestertana Group, E. Finnmark, Norway. Geological Society, London, Memoirs, 36, 593–602, https://doi.org/10.1144/M36.57.</t>
  </si>
  <si>
    <t>Alvarenga, C.J.S., Figueiredo, M.F., Babinski, M. and Pinho, F.E.C. 2007. Glacial diamictites of Serra Azul Formation (Ediacaran, Paraguay belt): Evidence of the Gaskiers glacial event in Brazil. Journal of South American Earth Sciences, 23, 236–241, https://doi.org/10.1016/j.jsames.2006.09.015.</t>
  </si>
  <si>
    <t>Gostin, V.A., McKirdy, D.M., Webster, L.J. and Williams, G.E. 2010. Ediacaran ice-rafting and coeval asteroid impact, South Australia: insights into the terminal Proterozoic environment. Australian Journal of Earth Sciences, 57, 859–869, https://doi.org/10.1080/08120099.2010.509408.</t>
  </si>
  <si>
    <t>lonestone</t>
  </si>
  <si>
    <t>granule cluster</t>
  </si>
  <si>
    <t>Wang, Z., Chen, C., et al. 2020. Wide but not ubiquitous distribution of glendonite in the Doushantuo Formation, South China: Implications for Ediacaran climate. Precambrian Research, 338, 105586, https://doi.org/10.1016/j.precamres.2019.105586.</t>
  </si>
  <si>
    <t>Wang, Z., Wang, J., Suess, E., Wang, G., Chen, C. and Xiao, S. 2017. Silicified glendonites in the Ediacaran Doushantuo Formation (South China) and their potential paleoclimatic implications. Geology, 45, 115–118, https://doi.org/10.1130/G38613.1.</t>
  </si>
  <si>
    <t>Wang et al 2017 Geob</t>
  </si>
  <si>
    <t>Wang et al 2017 Geol</t>
  </si>
  <si>
    <t>YD-4</t>
  </si>
  <si>
    <t>HJZK</t>
  </si>
  <si>
    <t>glendonite</t>
  </si>
  <si>
    <t>U6 to U9</t>
  </si>
  <si>
    <t>U2</t>
  </si>
  <si>
    <t>Loch na Cille boulder beds</t>
  </si>
  <si>
    <t>Upper Lynchburg</t>
  </si>
  <si>
    <t>Volyn-Brest</t>
  </si>
  <si>
    <t>Francovschi, I., Shumlyanskyy, L., et al. 2023. U–Pb geochronology of detrital zircon from the Ediacaran and Cambrian sedimentary successions of NE Estonia and Volyn region of Ukraine: Implications for the provenance and comparison with other areas within Baltica. Precambrian Research, 392, 107087, https://doi.org/10.1016/j.precamres.2023.107087.</t>
  </si>
  <si>
    <t>Francovschi, I., Shumlyanskyy, L., Grytsenko, V., Hoffmann, A., Wilde, S.A. and Bekker, A. 2024. U–Pb geochronology and Hf isotope systematics of detrital zircon from the basal part of the late Ediacaran sedimentary succession of the Moldova-Podillya basin (SW Baltica): Implications for glacial vs. alluvial origin. Precambrian Research, 413, 107572, https://doi.org/10.1016/j.precamres.2024.107572.</t>
  </si>
  <si>
    <t>Tindal, B. 2023. Geological Constraints on Neoproterozoic Glacial Episodes. PhD Thesis, University of Cambridge.</t>
  </si>
  <si>
    <t>Agić, H., Jensen, S., et al. 2024. Life through an Ediacaran glaciation: Shale- and diamictite-hosted organic-walled microfossil assemblages from the late Neoproterozoic of the Tanafjorden area, northern Norway. Palaeogeography, Palaeoclimatology, Palaeoecology, 635, 111956, https://doi.org/10.1016/j.palaeo.2023.111956.</t>
  </si>
  <si>
    <t>deposit_score_Tindal2023</t>
  </si>
  <si>
    <t>deposit_score_WH01</t>
  </si>
  <si>
    <t>deposit_score_WH02</t>
  </si>
  <si>
    <t>WH01: ★★★☆☆ diamictite and dropstones with angular clasts from 3 lithological groups.</t>
  </si>
  <si>
    <t>WH01: ★★★★☆ Small striated surfaces with crescentic gouges, and diamictite with subangular to subrounded clasts from 3 lithological groups, some of which are striated.</t>
  </si>
  <si>
    <t>WH01: ★★★☆☆ Small smooth surfaces, and diamictite and dropstones with angular to rounded clasts from 2 lithological groups.</t>
  </si>
  <si>
    <t xml:space="preserve">WH01: ★★☆☆☆ Basal conglomerate with clasts of unreported roundness from 3 lithological groups. Note that Campanha et al 2008 interpret this unit as a non-glaciogenic basal conglomerate. </t>
  </si>
  <si>
    <t>WH01: ★★☆☆☆ subrounded dropstones from 2 lithological groups, some of which are facetted. Evidence (Fitzgerald et al 2024) not originally available.</t>
  </si>
  <si>
    <t>WH01: ★★★★☆ Deformed beds interpreted as glaciotectonism, and diamictite with subangular to rounded clasts from 4 lithological groups, some of which are facetted or striated. Evidence (Niu et al 2024) not originally available.</t>
  </si>
  <si>
    <t xml:space="preserve">Following Kuhnemann et al 2024 &amp; Meinhold et al 2025; may be Cambro-Ordovician. </t>
  </si>
  <si>
    <t>Tindal 2023 implicit 0: excluded evidence only of glacioeustasy.</t>
  </si>
  <si>
    <t>Tindal 2023 implicit 0: excluded evidence of only non-glacial ice.</t>
  </si>
  <si>
    <t>Tindal 2023 implicit 0: excluded glendonite occurrences.</t>
  </si>
  <si>
    <t>deposit_score_WH01_source</t>
  </si>
  <si>
    <t>deposit_score_Tindal2023_notes</t>
  </si>
  <si>
    <t>Tindal 2023 split into lower 4* and upper 2* diamictites; combined here.</t>
  </si>
  <si>
    <t>WH01: Tindal 2023 split into lower 4* and upper 2* diamictites; combined here.</t>
  </si>
  <si>
    <t>Tindal 2023 combined with Muglitz Formation/Weesenstein diamictite.</t>
  </si>
  <si>
    <t xml:space="preserve">WH01: ★★☆☆☆ diamictite and dropstones with rounded clasts from 2 lithological groups, some of which are facetted. </t>
  </si>
  <si>
    <t>Tindal 2023 combined with Clanzschwitz diamictite.</t>
  </si>
  <si>
    <t>deposit_score_WH02_source</t>
  </si>
  <si>
    <t>WH01</t>
  </si>
  <si>
    <t>WH01: ★☆☆☆☆ loose stones found in field containing diamictite with clasts of unreported roundness from one lithological group, some of which are facetted. Tindal 2023 combined with Muglitz Formation; separated here.</t>
  </si>
  <si>
    <t>WH02: see Supplementary Information</t>
  </si>
  <si>
    <t>WH02: removed from compilation</t>
  </si>
  <si>
    <t>Al-Husseini, M. 2011. Late Ediacaran to early Cambrian (Infracambrian) Jibalah Group of Saudi Arabia. GeoArabia, 16, 69–90, https://doi.org/10.2113/geoarabia160369.</t>
  </si>
  <si>
    <t>Al-Husseini 2014</t>
  </si>
  <si>
    <t>Deynoux et al 2006</t>
  </si>
  <si>
    <t>Deynoux, M., Affaton, P., Trompette, R. and Villeneuve, M. 2006. Pan-African tectonic evolution and glacial events registered in Neoproterozoic to Cambrian cratonic and foreland basins of West Africa. Journal of African Earth Sciences, 46, 397–426, https://doi.org/10.1016/j.jafrearsci.2006.08.005.</t>
  </si>
  <si>
    <t>Poorly constrained; Deynoux et al 2006 and Chumakov 2009 infer a late Ediacaran (560 to 530 Ma) depositional age but the radiometric constraints they use are unreliable (see Bechiri-Benmerzoug et al 2017) and a Cryogenian age based on lithostratigraphy of the 'triad' deposits across the Taoudeni Basin may be more likely (Graham Shields pers. comm.)</t>
  </si>
  <si>
    <t>Picciotto et al 1964</t>
  </si>
  <si>
    <t>Picciotto, E., Ledent, D. and Ley, C. 1965. Etude geochronologique de quelques roches du socle cristallophyllien du Hoggar (Sahara central). Science de la Terre, Nancy, X, 481–495.</t>
  </si>
  <si>
    <t>Cahen et al 1984</t>
  </si>
  <si>
    <t>Cahen, L., Snelling, N.J., Delhal, J. and Vail, J.R. 1984. The Geochronology and Evolution of Africa.</t>
  </si>
  <si>
    <t>recalculated by Cahen et al 1984</t>
  </si>
  <si>
    <t>In Zize rhyolite</t>
  </si>
  <si>
    <t>Wholerock Rb-Sr date from granite unconformable below the Pourpree de l'Ahnet Group</t>
  </si>
  <si>
    <t>Wholerock Rb-Sr date from the In Zize rhyolite</t>
  </si>
  <si>
    <t>Caby &amp; Fabre 1981</t>
  </si>
  <si>
    <t>Caby, R. and Fabre, J. 1981. A22. Late Proterozoic to Early Cambrian diamictites, tillites and associated glaciogenic sediments in the Série Pourprée of Western Ahaggar, Algeria. In: Hambrey, M. J. and Harland, W. B. (eds) Earth’s Pre-Pleistocene Glacial Record. 140–145.</t>
  </si>
  <si>
    <t>Allegre, C. and Caby, R. 1972. Chronologie absolue du Précambrien de l’Ahaggar occidental. Comptes Rendus Académie des Sciences, Paris, 275, 2095–2098.</t>
  </si>
  <si>
    <t>Allegre &amp; Caby 1972</t>
  </si>
  <si>
    <t xml:space="preserve">Likely from the Llanddwyn Island Volcanic Member of the Bodorgan Formation but this is not specified in the paper. </t>
  </si>
  <si>
    <t>Stratigraphic relationship uncertain but may crosscut strata in the area.</t>
  </si>
  <si>
    <t>Halliday, A.N., Graham, C.M., Aftalion, M. and Dymoke, P. 1989. Short Paper: The depositional age of the Dalradian Supergroup: U-Pb and Sm-Nd isotopic studies of the Tayvallich Volcanics, Scotland. Journal of the Geological Society, 146, 3–6, https://doi.org/10.1144/gsjgs.146.1.0003.</t>
  </si>
  <si>
    <t>Dempster, T.J., Rogers, G., et al. 2002. Timing of deposition, orogenesis and glaciation within the Dalradian rocks of Scotland: constraints from U–Pb zircon ages. Journal of the Geological Society, 159, 83–94, https://doi.org/10.1144/0016-764901061.</t>
  </si>
  <si>
    <t xml:space="preserve">Stratigraphic relationship to the Tayvallich Volcanics is uncertain but may crosscut strata in the area. Use as a constraint for the Inishowen beds is based on tentative correlation with the Loch na Cille beds which may not be sound. </t>
  </si>
  <si>
    <t xml:space="preserve">Use as a constraint for the Inishowen beds is based on tentative correlation with the Loch na Cille beds which may not be sound. </t>
  </si>
  <si>
    <t>Assumes that carbon isotope data indicate a post- or syn-Shuram age assignment. Palaeontological data facilitate an earlier, early or mid-Ediacaran, age.</t>
  </si>
  <si>
    <t>Zukowska Formation; Białystok Formation</t>
  </si>
  <si>
    <t>Krzemińska, E., Poprawa, P., Pacześna, J. and Krzemiński, L. 2022. From initiation to termination: The evolution of the Ediacaran Volyn large igneous province (SW East European Craton) constrained by comparative geochemistry of proximal tuffs versus lavas and zircon geochronology. Precambrian Research, 370, 106560, https://doi.org/10.1016/j.precamres.2022.106560.</t>
  </si>
  <si>
    <t>Krzeminska et al 2022</t>
  </si>
  <si>
    <t>Kap-1720</t>
  </si>
  <si>
    <t>From the upper Volyn Group</t>
  </si>
  <si>
    <t>From the lower Volyn Group</t>
  </si>
  <si>
    <t>Igneous zircon U-Pb SHRIMP date from andesite tuff in the lower Volyn Group</t>
  </si>
  <si>
    <t xml:space="preserve">This is the youngest concordant age; an older age of 571.5 ± 7.7 Ma (MSWD = 4.2) is also supported. </t>
  </si>
  <si>
    <t>Sławatycze</t>
  </si>
  <si>
    <t>lower Sławatycze</t>
  </si>
  <si>
    <t>Shields-Zhou, G.A., Deynoux, M. and Och, L. 2011. Chapter 11. The record of Neoproterozoic glaciation in the Taoudéni Basin, NW Africa. In: Arnaud, E., Halverson, G. P. and Shields-Zhou, G. (eds) The Geological Record of Neoproterozoic Glaciations. 0., https://doi.org/10.1144/M36.11.</t>
  </si>
  <si>
    <t>Thompson, M.D., Grunow, A.M. and Ramezani, J. 2007. Late Neoproterozoic paleogeography of the Southeastern New England Avalon Zone: Insights from U-Pb geochronology and paleomagnetism. GSA Bulletin, 119, 681–696, https://doi.org/10.1130/B26014.1.</t>
  </si>
  <si>
    <t>Poorly constrained; possibly MEIH following Frimmel 2011b but Macdonald et al 2010 and Hoffman et al 2017 consider it Sturtian</t>
  </si>
  <si>
    <t>Poorly constrained; lithostratigraphically correlated with Numees Formation; possibly MEIH following Frimmel 2011b; Macdonald et al 2010 and Hoffman et al 2017 consider the Numees Formation (and by implication the Chameis Gate Member) Sturtian</t>
  </si>
  <si>
    <t>Yue et al 2025</t>
  </si>
  <si>
    <t>Yue, L., Ji, Y., et al. 2025. Ediacaran glaciogenic deposits within a carbonate platform background: insights from the Fengtai formation in the southeastern margin of the North China Craton. Geosciences Journal, https://doi.org/10.1007/s12303-025-00034-3.</t>
  </si>
  <si>
    <t>Fengtai Formation</t>
  </si>
  <si>
    <t>North China Craton</t>
  </si>
  <si>
    <t>Fengtai</t>
  </si>
  <si>
    <t>Unconformity between Fengtai Formation and overlying Houjiashan Formation</t>
  </si>
  <si>
    <t>Houjiashan</t>
  </si>
  <si>
    <t>sandy mudstone</t>
  </si>
  <si>
    <t>Tan et al 2025</t>
  </si>
  <si>
    <t>Tan, M., Li, Z., Lan, Z., An, W. and Wang, D. 2025. Rodinia supercontinent assembly in the southeastern North China Craton: Detrital zircon evidence from the late Ediacaran Fengtai Formation. Precambrian Research, 422, 107775, https://doi.org/10.1016/j.precamres.2025.107775.</t>
  </si>
  <si>
    <t>Not accessible</t>
  </si>
  <si>
    <t>Date from MSc thesis cited in Yue et al 2025</t>
  </si>
  <si>
    <t>Date from inaccessible paper cited in Yue et al 2025</t>
  </si>
  <si>
    <t>Original work not available</t>
  </si>
  <si>
    <t>Most likely late Ediacaran following Zhu &amp; Wang 2011 correlation with Hankalchough Formation but an earlier age cannot be ruled out</t>
  </si>
  <si>
    <t>Alexeiev, D.V., Khudoley, A.K., Shevkunov, A.G., Kulikova, A.V., Aidarkulov, T.N. and Minnebaev, K.R. 2025. Late Ediacaran Glacial Deposits of the Baykonur Formation, Middle Tianshan of East Kyrgyzstan: Age Substantiation Based on Detrital Zircon U–Th–Pb (LA-ICP-MS) Geochronological Study. Doklady Earth Sciences, 520, 24, https://doi.org/10.1134/S1028334X24604838.</t>
  </si>
  <si>
    <t>Alexeiev et al 2025</t>
  </si>
  <si>
    <t>1B-1</t>
  </si>
  <si>
    <t>1A-1</t>
  </si>
  <si>
    <t>Upper part of the Baykonur Formation diamictite</t>
  </si>
  <si>
    <t>Detrital zircon U-Pb LA-ICP-MS date from diamictite wholerock</t>
  </si>
  <si>
    <t>upper Baykonur</t>
  </si>
  <si>
    <t>Pazos et al 2011</t>
  </si>
  <si>
    <t>Pazos, P.J., Rapalini, A.E., Bettucci, L.S. and Tófalo, O.R. 2011. Chapter 52 The Playa Hermosa Formation, Playa Verde Basin, Uruguay. Geological Society, London, Memoirs, 36, 547–553, https://doi.org/10.1144/M36.52.</t>
  </si>
  <si>
    <t>Lower Member</t>
  </si>
  <si>
    <t>Historically poorly constrained; often assumed to be late Ediacaran which is now supported by detrital zircon U-Pb dates by Alexeiev et al 2025</t>
  </si>
  <si>
    <t xml:space="preserve">Following Kuhnemann et al 2024 may be Cambro-Ordovician. </t>
  </si>
  <si>
    <t>Possibly LEIH by correlation with nearby North China craton deposits but not well constrained itself</t>
  </si>
  <si>
    <t>section_longitude</t>
  </si>
  <si>
    <t>section_latitude</t>
  </si>
  <si>
    <t>composite_longitude</t>
  </si>
  <si>
    <t>composite_latitude</t>
  </si>
  <si>
    <t>constraint_wrt_csl</t>
  </si>
  <si>
    <t>Grand mean of three samples: SA-12 (SdAn-2); SA-20 (SdAn-1); SA-8 (SdAn3)</t>
  </si>
  <si>
    <t>From correlated Chalus Road section Soltanieh Formation Middle Dolomite Member contains early Cambrian SSFs; stratigraphic position quite well constrained to above the diamictite bearing unit</t>
  </si>
  <si>
    <t>Soltanieh</t>
  </si>
  <si>
    <t>Middle Dolomite</t>
  </si>
  <si>
    <t>Treptichnus pedum recovered from sections in West Alborz Mountains</t>
  </si>
  <si>
    <t>Second formation above the Moelv includes subtrilobitic Cambrian acritarch and trace fossils</t>
  </si>
  <si>
    <t>Vangsas</t>
  </si>
  <si>
    <t>fossils found in upper part of Vangsas Formation</t>
  </si>
  <si>
    <t>Nielsen &amp; Schovsbo 2007</t>
  </si>
  <si>
    <t>Nielsen, A.T. and Schovsbo, N.H. 2007. Cambrian to basal Ordovician lithostratigraphy in southern Scandinavia. Bulletin of the Geological Society of Denmark, 53, 47–92.</t>
  </si>
  <si>
    <t>rhyolites &amp; syenites</t>
  </si>
  <si>
    <t>Grand mean of igneous zircon U-Pb SHRIMP dates from El Tambo Formation flow-banded rhyolite + microsyenite intruding upper Playa Hermosa Formation + syenite intruding the Playa Hermosa Formation</t>
  </si>
  <si>
    <t>Rapalini, A.E., Tohver, E., Bettucci, L.S., Lossada, A.C., Barcelona, H. and Pérez, C. 2015. The late Neoproterozoic Sierra de las Ánimas Magmatic Complex and Playa Hermosa Formation, southern Uruguay, revisited: Paleogeographic implications of new paleomagnetic and precise geochronologic data. Precambrian Research, 259, 143–155, https://doi.org/10.1016/j.precamres.2014.11.021.</t>
  </si>
  <si>
    <t>Youngest graphical detrital zircon age peak from the sample; this age peak is younger than the age peaks in the Xichanghing diamictite and is therefore considered to provide a (tentative) minimum age constraint on the diamictite</t>
  </si>
  <si>
    <t>constraint_position_notes</t>
  </si>
  <si>
    <t>Trilobites from unconformably overlying formation</t>
  </si>
  <si>
    <t>Linkuanggou</t>
  </si>
  <si>
    <t>Eoredlichia specimens recovered</t>
  </si>
  <si>
    <t>Serrodiscus and Tannudiscus specimens recovered</t>
  </si>
  <si>
    <t>Could be interpreted as LEGH following tentative chemostratigraphic constraints - see Supplementary Information</t>
  </si>
  <si>
    <t>Rocky Harbour Group</t>
  </si>
  <si>
    <t>Commonly interpreted as Ediacaran; Baillie et al 2025 (unreviewed abstract) indicate a non-Ediacaran (Permo-Carboniferous, Dwyka Formation) assignation for the glacial parts of this deposit</t>
  </si>
  <si>
    <t>Mercantile diamictite</t>
  </si>
  <si>
    <t>Gomez et al 2025a</t>
  </si>
  <si>
    <t>Gómez, N., Lowe, D., Kommescher, S. and Mills, A. 2025. Unraveling recycling and climate influence on detrital U-Pb geochronology of titanite and apatite: An example from the Gaskiers Glaciation in Newfoundland. Precambrian Research, 427, 107871, https://doi.org/10.1016/j.precamres.2025.107871.</t>
  </si>
  <si>
    <t>Gomez et al 2025b</t>
  </si>
  <si>
    <t>Gómez, N., Lowe, D., Mills, A., Kommescher, S. and Lam, R. 2025. Interplay of Ediacaran glaciation and sediment provenance revealed by detrital zircon U-Pb geochronology and Hf isotope geochemistry in the Bonavista Peninsula (Newfoundland). GSA Bulletin, https://doi.org/10.1130/B38347.1.</t>
  </si>
  <si>
    <t>Likely pre-Cambrian; undulating surface expressed on Archaean gneiss</t>
  </si>
  <si>
    <t>Swett, K. 1981. F22. A probable sub-Cambrian glacial erosional surface in southern Labrador and eastern Quebec. In: Hambrey, M. J. and Harland, W. B. (eds) Earth’s Pre-Pleistocene Glacial Record. 771–772.</t>
  </si>
  <si>
    <t>Bagongshan</t>
  </si>
  <si>
    <t>Xiaomeiyao</t>
  </si>
  <si>
    <t>Unconformity between Fengtai Formation and overlying Cambrian Series 2 Houjiashan Formation</t>
  </si>
  <si>
    <t>GT-5</t>
  </si>
  <si>
    <t>Sample 002026</t>
  </si>
  <si>
    <t>Zircon U-Pb CA-TIMS date from a rhyodacite beneath the diamictite</t>
  </si>
  <si>
    <t>Zircon U-Pb CA-TIMS date from hyaloclastic rhyodacite interbedded with the diamictite</t>
  </si>
  <si>
    <t>Croles Hill Diamictite</t>
  </si>
  <si>
    <t>Keppel Creek</t>
  </si>
  <si>
    <t>Calver et al 2026</t>
  </si>
  <si>
    <t>Hyaloclastic rhyodacite interbedded with diamictite</t>
  </si>
  <si>
    <t>Rhyodacite underlying the diamictite</t>
  </si>
  <si>
    <t>Mills et al 2017</t>
  </si>
  <si>
    <t>Gomez et al 2025</t>
  </si>
  <si>
    <t>Gomez et al 2026</t>
  </si>
  <si>
    <t>Sample 15AM125</t>
  </si>
  <si>
    <t>Sample 15AM201</t>
  </si>
  <si>
    <t>U-Pb CA-TIMS date from a tuff in Plate Cove Formation underlying the diamictite</t>
  </si>
  <si>
    <t>Bull Arm</t>
  </si>
  <si>
    <t>Plate Cove</t>
  </si>
  <si>
    <t>From formation beneath the diamictite-bearing units</t>
  </si>
  <si>
    <t>Following dates and correlations of Gomez et al 2025a,b, 2026</t>
  </si>
  <si>
    <t>Mercantile Diamictite</t>
  </si>
  <si>
    <t>Knight, I., Boyce, W.D., Skovsted, C. and Balthasar, U. 2017. The Lower Cambrian Forteau Formation, Southern Labrador and Great Northern Peninsula, Western Newfoundland: Lithostratigraphy, Trilobites, and Depositional Setting. Occasional Papers 2017–01Government of Newfoundland and Labrador, Department of Natural Resources, Geological Survey, St. John’s.</t>
  </si>
  <si>
    <t>Calver, C.R., Cumming, G.V., Halverson, G.P., Crowley, J.L., Roberts, N.J. and Schmitz, M. 2026. High-resolution U-Pb dating of the Croles Hill Diamictite, Tasmania: Near-synchroneity of widely separated mid-Ediacaran glacial deposits. Precambrian Research, 432, 107958, https://doi.org/10.1016/j.precamres.2025.107958.</t>
  </si>
  <si>
    <t>Mills, A.J., Dunning, G.R., Murphy, M. and Langille, A. 2017. New Geochronological Constraints on the Timing of Magmatism for the Bull Arm Formation, Musgravetown Group, Avalon Terrane, Northeastern Newfoundland. Geological Survey Report 17–1Current Research: Newfoundland and Labrador Department of Natural Resources.</t>
  </si>
  <si>
    <t>Gómez, N., Lowe, D., Mills, A., Slaney, N. and Arnott, R.W.C. 2026. Ediacaran proximal glaciomarine sedimentation in the Bonavista Peninsula, Avalon Zone, Newfoundland, Canada. Journal of Sedimentary Research, 96, 130–157, https://doi.org/10.2110/jsr.2025.022.</t>
  </si>
  <si>
    <t>WH01: ★★★☆☆ rhythmically banded shales (possibly varves), and diamictite with rounded to angular clasts from 3 lithological groups, some of which are facetted.</t>
  </si>
  <si>
    <t>Wong Hearing, T.W., Tindal, B.H., et al. 2026. Ediacaran coupling of climate and biosphere dynamics. GSA Bulletin, accepted.</t>
  </si>
  <si>
    <t>WH02</t>
  </si>
  <si>
    <t>Wong Hearing, T.W., Pohl, A., Vandyk, T.M., et al. 2026. A Phanerozoic-style icehouse climate in the middle Ediacaran. EGUSphere</t>
  </si>
  <si>
    <t>Insufficient information published at time of submission</t>
  </si>
  <si>
    <t>Maximum age of the Trinity diamictite and corresponding minimum age for the Mercantile diamictite</t>
  </si>
  <si>
    <t>Sample 2019TA010</t>
  </si>
  <si>
    <t>Zhu et al 2021</t>
  </si>
  <si>
    <t>Zhu, G.-Y., Chen, Z.-Y., Chen, W.-Y., Yan, H.-H. and Zhang, P.-H. 2021. Revisiting to the Neoproterozoic tectonic evolution of the Tarim Block, NW China. Precambrian Research, 352, 106013, https://doi.org/10.1016/j.precamres.2020.106013.</t>
  </si>
  <si>
    <t>Sample from Hankalchough Formation tillite</t>
  </si>
  <si>
    <t>Detrital zircon LA-ICP-MS date on 24 concordant zircons provide a maximum depositional age estimate for the Hankalchough Formation</t>
  </si>
  <si>
    <t>WH01: see Supplementary Information</t>
  </si>
  <si>
    <t>U6</t>
  </si>
  <si>
    <t>Koiiva Formation</t>
  </si>
  <si>
    <t>Tindal 2023; retained as low score may reflect lack of published detail</t>
  </si>
  <si>
    <t xml:space="preserve">WH01: ☆☆☆☆☆. Included here because it was included in a recent compilation. Rated 0 following Tindal 2023 methodology as it was not interpreted as potentially glaciogenic in studies with primary sedimentology data. </t>
  </si>
  <si>
    <t>West Belarus</t>
  </si>
  <si>
    <t>Vilchanka</t>
  </si>
  <si>
    <t>Glussk</t>
  </si>
  <si>
    <t>Glusk Formation</t>
  </si>
  <si>
    <t>Bialystok</t>
  </si>
  <si>
    <t>Zukow</t>
  </si>
  <si>
    <t>Campanha, G.A.C., Basei, M.S., Tassinari, C.C.G., Nutman, A.P. and Faleiros, F.M. 2008. Constraining the age of the Iporanga Formation with SHRIMP U-Pb zircon: Implications for possible Ediacaran glaciation in the Ribeira Belt, SE Brazil. Gondwana Research, 13, 117–125, https://doi.org/10.1016/j.gr.2007.05.010.</t>
  </si>
  <si>
    <t>South Parana</t>
  </si>
  <si>
    <t>Acungui</t>
  </si>
  <si>
    <t>Niu, Y., Shi, G.R., Zhang, Q., Jones, B.G., Wang, X. and Zhao, G. 2024. Ediacaran Cordilleran-type mountain ice sheets and their erosion effects. Earth-Science Reviews, 249, 104671, https://doi.org/10.1016/j.earscirev.2023.104671.</t>
  </si>
  <si>
    <t>date_id</t>
  </si>
  <si>
    <t>Williams, G.E. and Schmidt, P.W. 2018. Shuram–Wonoka carbon isotope excursion: Ediacaran revolution in the world ocean’s meridional overturning circulation. Geoscience Frontiers, 9, 391–402, https://doi.org/10.1016/j.gsf.2017.11.006.</t>
  </si>
  <si>
    <t>Williams, G.E. and Schmidt, P.W. 2021. Dating the Acraman asteroid impact, South Australia: the case for deep drilling the ‘hot shock’ zone of the central uplift. Australian Journal of Earth Sciences, 68, 355–367, https://doi.org/10.1080/08120099.2020.1808066.</t>
  </si>
  <si>
    <t>Álvaro, J.J., Cortijo, I., Jensen, S., Lorenzo, S. and Pieren, A.P. 2019. Updated stratigraphic framework and biota of the Ediacaran and Terreneuvian in the Alcudia-Toledo Mountains of the Central Iberian Zone, Spain. Estudios Geológicos, 75, e093–e093, https://doi.org/10.3989/egeol.43620.548.</t>
  </si>
  <si>
    <t>Asanuma, H., Fujisaki, W., et al. 2017. New isotopic age data constrain the depositional age and accretionary history of the Neoproterozoic-Ordovician Mona Complex (Anglesey-Lleyn, Wales). Tectonophysics, 706–707, 164–195, https://doi.org/10.1016/j.tecto.2017.03.017.</t>
  </si>
  <si>
    <t>Bailey, C.M. and Peters, S.E. 1998. Glacially influenced sedimentation in the late Neoproterozoic Mechum River Formation, Blue Ridge province, Virginia. Geology, 26, 623–626, https://doi.org/10.1130/0091-7613(1998)026%253C0623:GISITL%253E2.3.CO;2.</t>
  </si>
  <si>
    <t>Beckinsale, R.D. and Thorpe, R.S. 1979. Rubidium-strontium whole-rock isochron evidence for the age of metamorphism and magmatism in the Mona Complex of Anglesey. Journal of the Geological Society, 136, 433–439, https://doi.org/10.1144/gsjgs.136.4.0433.</t>
  </si>
  <si>
    <t>Blanco, G. and Gaucher, C. 2005. Estratigrafia, paleontologia y edad de la Formacion Las Ventanas (Neoproterozoico, Uruguay). Latin American journal of sedimentology and basin analysis, 12, 109–124.</t>
  </si>
  <si>
    <t>Brown, A.V. 1986. Geology of the Dundas-Mt Youngbuck Area, Western Tasmania : The Stratigraphy and Structure of the Regional Geology, and the Petrology, Chemistry and Petrogenesis of the Ultramafic-Mafic Complexes in the Dundas-Mt Youngbuck Area of Western Tasmania. thesis, University of Tasmania., https://doi.org/10.25959/23237129.v1.</t>
  </si>
  <si>
    <t>Brown, A.V. 1986. Geology of the Dundas–Mount Lindsay–Mount Youngbuck Region. Geological Survey of Tasmania Bulletin 62.</t>
  </si>
  <si>
    <t>Carto, S.L. and Eyles, N. 2011. Chapter 42 The deep-marine glaciogenic Gaskiers Formation, Newfoundland, Canada. Geological Society, London, Memoirs, 36, 467–473, https://doi.org/10.1144/M36.42.</t>
  </si>
  <si>
    <t>Carto, S.L. and Eyles, N. 2012. Sedimentology of the Neoproterozoic (c. 580 Ma) Squantum ‘Tillite’, Boston Basin, USA: Mass flow deposition in a deep-water arc basin lacking direct glacial influence. Sedimentary Geology, 269–270, 1–14, https://doi.org/10.1016/j.sedgeo.2012.03.011.</t>
  </si>
  <si>
    <t>Chumakov, N.M. 2007. Climates and climate zonality of the Vendian: geological evidence. Geological Society, London, Special Publications, 286, 15–26, https://doi.org/10.1144/SP286.2.</t>
  </si>
  <si>
    <t>Chumakov, N.M. 2009. The Baykonurian glaciohorizon of the Late Vendian. Stratigraphy and Geological Correlation, 17, 373–381, https://doi.org/10.1134/S0869593809040029.</t>
  </si>
  <si>
    <t>Chumakov, N.M., Pokrovskii, B.G. and Maslov, A.V. 2013. Stratigraphic position and significance of carbonate rocks related to neoproterozoic glacial horizons of the Urals. Stratigraphy and Geological Correlation, 21, 573–591, https://doi.org/10.1134/S0869593813060038.</t>
  </si>
  <si>
    <t>Collins, A.S. and Buchan, C. 2004. Provenance and age constraints of the South Stack Group, Anglesey, UK: U–Pb SIMS detrital zircon data. Journal of the Geological Society, 161, 743–746, https://doi.org/10.1144/0016-764904-036.</t>
  </si>
  <si>
    <t>Compston, W., Williams, I.S., Jenkins, R.J.F., Gostin, V.A. and Haines, P.W. 1987. Zircon age evidence for the Late Precambrian Acraman ejecta blanket. Australian Journal of Earth Sciences, 34, 435–445, https://doi.org/10.1080/08120098708729424.</t>
  </si>
  <si>
    <t>Corkeron, M. 2011. Chapter 65. Neoproterozoic glacial deposits of the Kimberly Region and northwestern Northern Territory, Australia. In: Arnaud, E., Halverson, G. P. and Shields-Zhou, G. (eds) The Geological Record of Neoproterozoic Glaciations. 0., https://doi.org/10.1144/M36.65.</t>
  </si>
  <si>
    <t>Crawford, A.J. and Berry, R.F. 1992. Tectonic implications of Late Proterozoic-Early Palaeozoic igneous rock associations in western Tasmania. Tectonophysics, 214, 37–56, https://doi.org/10.1016/0040-1951(92)90189-D.</t>
  </si>
  <si>
    <t>Direen, N.G. and Jago, J.B. 2008. The Cottons Breccia (Ediacaran) and its tectonostratigraphic context within the Grassy Group, King Island, Australia: A rift-related gravity slump deposit. Precambrian Research, 165, 1–14, https://doi.org/10.1016/j.precamres.2008.05.008.</t>
  </si>
  <si>
    <t>Dott, R.H., Jr. 1961. Squantum “Tillite”, Massachusetts—Evidence of Glaciation or Subaqueous Mass Movements? GSA Bulletin, 72, 1289–1305, https://doi.org/10.1130/0016-7606(1961)72%255B1289:STMOGO%255D2.0.CO;2.</t>
  </si>
  <si>
    <t>Errami, E., Linnemann, U., et al. 2021. From Pan-African Transpression to Cadomian Transtension at the West African Margin: New U–Pb zircon Ages from the Eastern Saghro Inlier (Anti-Atlas, Morocco). Geological Society, London, Special Publications, 503, 209–233, https://doi.org/10.1144/SP503-2020-105.</t>
  </si>
  <si>
    <t>Everard, J.L., Seymour, D.B., Reed, A.R., McClenaghan, M.P., Green, D.C., Calver, C.R. and Brown, A.V. 2007. Regional Geology of the Southern Smithton Synclinorium: Explanatory Report for the Roger, Sumac and Dempster 1:25,000 Map Sheets, Far Northwestern Tasmania. 21:25,000 Scale Digital Geological Map Series Explanatory Report.</t>
  </si>
  <si>
    <t>Eyles, N. and Eyles, C.H. 1989. Glacially-influenced deep-marine sedimentation of the Late Precambrian Gaskiers Formation, Newfoundland, Canada. Sedimentology, 36, 601–620, https://doi.org/10.1111/j.1365-3091.1989.tb02088.x.</t>
  </si>
  <si>
    <t>Figueiredo, M.F., Babinski, M. and Alvarenga, C.J.S. 2011. Chapter 46 The Serra Azul Formation, Paraguay Belt, Brazil. Geological Society, London, Memoirs, 36, 499–502, https://doi.org/10.1144/M36.46.</t>
  </si>
  <si>
    <t>Fölling, P.G., Zartman, R.E. and Frimmel, H.E. 2000. A novel approach to double-spike Pb–Pb dating of carbonate rocks: examples from Neoproterozoic sequences in southern Africa. Chemical Geology, 171, 97–122, https://doi.org/10.1016/S0009-2541(00)00204-7.</t>
  </si>
  <si>
    <t>Frimmel, H.E. and Fölling, P.G. 2004. Late Vendian Closure of the Adamastor Ocean: Timing of Tectonic Inversion and Syn-orogenic Sedimentation in the Gariep Basin. Gondwana Research, 7, 685–699, https://doi.org/10.1016/S1342-937X(05)71056-X.</t>
  </si>
  <si>
    <t>Frimmel, H.E. and Frank, W. 1998. Neoproterozoic tectono-thermal evolution of the Gariep Belt and its basement, Namibia and South Africa. Precambrian Research, 90, 1–28, https://doi.org/10.1016/S0301-9268(98)00029-1.</t>
  </si>
  <si>
    <t>Frimmel, H.E. 2011. Chapter 16. The Chameis Gate Member, Chameis Group, Marmora Terrane, Namibia. In: Arnaud, E., Halverson, G. P. and Shields-Zhou, G. (eds) The Geological Record of Neoproterozoic Glaciations. 0., https://doi.org/10.1144/M36.16.</t>
  </si>
  <si>
    <t>Haines, P. 1986. The upper Wilpena Group at Bunyeroo Gorge - a one day excursion. In: Gostin, V. A. (ed.) Proterozoic Clastic Sedmentation in Relation to Glaciations and Tectonism, Flinders Ranges, South Australia. 12th International Sedimentological Congress Excursion 27B, A8–A11.</t>
  </si>
  <si>
    <t>Hanley, L.M. and Wingate, M.T.D. 2000. SHRIMP zircon age for an Early Cambrian dolerite dyke: An intrusive phase of the Antrim Plateau Volcanics of northern Australia. Australian Journal of Earth Sciences, 47, 1029–1040, https://doi.org/10.1046/j.1440-0952.2000.00829.x.</t>
  </si>
  <si>
    <t>He, J., Zhu, W., Zheng, B., Wu, H., Cui, X. and Lu, Y. 2015. Neoproterozoic diamictite-bearing sedimentary rocks in the northern Yili Block and their constraints on the Precambrian evolution of microcontinents in the Western Central Asian Orogenic Belt. Tectonophysics, 665, 23–36, https://doi.org/10.1016/j.tecto.2015.09.021.</t>
  </si>
  <si>
    <t>He, J., Zhu, W. and Ge, R. 2014. New age constraints on Neoproterozoic diamicites in Kuruktag, NW China and Precambrian crustal evolution of the Tarim Craton. Precambrian Research, 241, 44–60, https://doi.org/10.1016/j.precamres.2013.11.005.</t>
  </si>
  <si>
    <t>Ingle, S., Mueller, P.A., Heatherington, A.L. and Kozuch, M. 2003. Isotopic evidence for the magmatic and tectonic histories of the Carolina terrane: implications for stratigraphy and terrane affiliation. Tectonophysics, 371, 187–211, https://doi.org/10.1016/S0040-1951(03)00228-2.</t>
  </si>
  <si>
    <t>Jenkins, R.J.F. 2011. Chapter 68 Billy Springs glaciation, South Australia. Geological Society, London, Memoirs, 36, 693–699, https://doi.org/10.1144/M36.68.</t>
  </si>
  <si>
    <t>Kheraskova, T.N. 1981. C24. Late Precambrian Baykonur tilloid in the loop of the Ishim River, north Kazakhstan, U.S.S.R. In: Hambrey, M. J. and Harland, W. B. (eds) Earth’s Pre-Pleistocene Glacial Record. 356–357.</t>
  </si>
  <si>
    <t>Krogh, T.E., Strong, D.F., O’Brien, S.J. and Papezik, V.S. 1988. Precise U–Pb zircon dates from the Avalon Terrane in Newfoundland. Canadian Journal of Earth Sciences, 25, 442–453, https://doi.org/10.1139/e88-045.</t>
  </si>
  <si>
    <t>Lahondère, D., Roger, J., et al. 2005. Notice explicative des cartes géologiques à 1/200 000 et 1/500 000 de l’extrême sud de la Mauritanie. Rapport BRGM RC-54273-FR.</t>
  </si>
  <si>
    <t>Lamoso, I.S.M., Babinski, M., Caetano-Filho, S., Paula-Santos, G.M. and Hollanda, M.H.B.M. 2023. A Record of the Snowball Earth Events? The Parecis Basin May Encompass Three Major Neoproterozoic Glaciations on the Amazonian Craton. Journal of South American Earth Sciences, 127, 104411, https://doi.org/10.1016/j.jsames.2023.104411.</t>
  </si>
  <si>
    <t>McCall, G.J.H. 2006. The Vendian (Ediacaran) in the geological record: Enigmas in geology’s prelude to the Cambrian explosion. Earth-Science Reviews, 77, 1–229, https://doi.org/10.1016/j.earscirev.2005.08.004.</t>
  </si>
  <si>
    <t>McCay, G.A., Prave, A.R., Alsop, G.I. and Fallick, A.E. 2006. Glacial trinity: Neoproterozoic Earth history within the British-Irish Caledonides. Geology, 34, 909–912, https://doi.org/10.1130/G22694A.1.</t>
  </si>
  <si>
    <t>McGee, B., Collins, A.S. and Trindade, R.I.F. 2013. A Glacially Incised Canyon in Brazil: Further Evidence for Mid-Ediacaran Glaciation? The Journal of Geology, 121, 275–287, https://doi.org/10.1086/669979.</t>
  </si>
  <si>
    <t>McGee, B., Collins, A.S., Trindade, R.I.F. and Jourdan, F. 2015. Investigating mid-Ediacaran glaciation and final Gondwana amalgamation using coupled sedimentology and 40Ar/ 39Ar detrital muscovite provenance from the Paraguay Belt, Brazil. Sedimentology, 62, 130–154, https://doi.org/10.1111/sed.12143.</t>
  </si>
  <si>
    <t>McGee, B., Collins, A.S., Trindade, R.I.F. and Payne, J. 2015. Age and provenance of the Cryogenian to Cambrian passive margin to foreland basin sequence of the northern Paraguay Belt, Brazil. GSA Bulletin, 127, 76–86, https://doi.org/10.1130/B30842.1.</t>
  </si>
  <si>
    <t>Mohseni, S. and Aftabi, A. 2015. Structural, textural, geochemical and isotopic signatures of synglaciogenic Neoproterozoic banded iron formations (BIFs) at Bafq mining district (BMD), Central Iran: The possible Ediacaran missing link of BIFs in Tethyan metallogeny. Ore Geology Reviews, 71, 215–236, https://doi.org/10.1016/j.oregeorev.2015.05.018.</t>
  </si>
  <si>
    <t>Normore, L.S. 2011. Preliminary Findings on the Geology of the Trinity Map Area (NTS 2C/06), Newfoundland. Geological Survey Report 11–1Current Research: Newfoundland and Labrador Department of Natural Resources.</t>
  </si>
  <si>
    <t>Ouyang, Q., Zhou, C., Xiao, S., Chen, Z. and Shao, Y. 2019. Acanthomorphic acritarchs from the Ediacaran Doushantuo Formation at Zhangcunping in South China, with implications for the evolution of early Ediacaran eukaryotes. Precambrian Research, 320, 171–192, https://doi.org/10.1016/j.precamres.2018.10.012.</t>
  </si>
  <si>
    <t>Oyhantçabal, P., Siegesmund, S., Wemmer, K. and Naumann, R. 2006. Age and geochemical signature of post-collisional plutons of the southern extreme of the Dom Feliciano Belt (Uruguay). In: Short Papers – South American Symposium on Isotope Geology. 148.</t>
  </si>
  <si>
    <t>Page, R. and Sun, S.S. 1994. Evolution of the Kimberley region, W.A. and adjacent Proterozoic inliers – new geochronological contraints. In: Geological Society of Australia Abstracts – Geological Society of Australia. 32–33.</t>
  </si>
  <si>
    <t>Palacios, T. 2024. The oldest fossil record in the Iberian Peninsula; lower Ediacaran acritarchs of the Tentudía Formation, Ossa-Morena Zone (OMZ), Southwest Iberian Massif. Journal of Iberian Geology, https://doi.org/10.1007/s41513-024-00266-6.</t>
  </si>
  <si>
    <t>Poiré, D.G. and Gaucher, C. 2009. Chapter 4.2 Lithostratigraphy. In: Gaucher, C., Sial, A. N., Frimmel, H. E. and Halverson, G. P. (eds) Developments in Precambrian Geology. Neoproterozoic-Cambrian Tectonics, Global Change And Evolution: A Focus On South Western Gondwana, 87–101., https://doi.org/10.1016/S0166-2635(09)01605-3.</t>
  </si>
  <si>
    <t>Priyatkina, N., Collins, W.J., Khudoley, A.K., Letnikova, E.F. and Huang, H.-Q. 2018. The Neoproterozoic evolution of the western Siberian Craton margin: U-Pb-Hf isotopic records of detrital zircons from the Yenisey Ridge and the Prisayan Uplift. Precambrian Research, 305, 197–217, https://doi.org/10.1016/j.precamres.2017.12.014.</t>
  </si>
  <si>
    <t>Puchkov, V.N. 2010. Geologiya Urala i Priural’ya (Geology of the Urals and Cis-Urals - actual problems of stratigraphy, tectonics, geodynamics and metallogeny).</t>
  </si>
  <si>
    <t>Sánchez Bettucci, L. and Linares, E. 1996. Primeras edades en Basaltos del Complejo Sierra de las Animas. XIII Congreso Geológico Argentino y III Congreso de Exploración de Hidrocarburos, Actas, 1, 399–404.</t>
  </si>
  <si>
    <t>Sayles, S.D. 1914. The Squantum Tillite. Museum of Comparative Zoology Bulletin, 66, 141–175.</t>
  </si>
  <si>
    <t>Shields, G.A., Deynoux, M., Strauss, H., Paquet, H. and Nahon, D. 2007. Barite-bearing cap dolostones of the Taoudéni Basin, northwest Africa: Sedimentary and isotopic evidence for methane seepage after a Neoproterozoic glaciation. Precambrian Research, 153, 209–235, https://doi.org/10.1016/j.precamres.2006.11.011.</t>
  </si>
  <si>
    <t>Shields, G.A., Deynoux, M., Culver, S.J., Brasier, M.D., Affaton, P. and Vandamme, D. 2007. Neoproterozoic glaciomarine and cap dolostone facies of the southwestern Taoudéni Basin (Walidiala Valley, Senegal/Guinea, NW Africa). Comptes Rendus Geoscience, 339, 186–199, https://doi.org/10.1016/j.crte.2006.10.002.</t>
  </si>
  <si>
    <t>Shields et al 2007a</t>
  </si>
  <si>
    <t>Shields et al 2007b</t>
  </si>
  <si>
    <t>Socci, A.D. and Smith, G.W. 1990. Stratigraphic implications of facies within the Boston Basin. In: Socci, A. D., Skehan, J. W. and Smith, G. W. (eds) Geology of the Composite Avalon Terrane of Southern New England. 0., https://doi.org/10.1130/SPE245-p55.</t>
  </si>
  <si>
    <t>Southworth, S., Tollo, R.P., et al. 2009. New geologic map and geochronology of the Shenandoah National Park region, Virginia. In: Geological Society of America Abstracts with Programs. 365.</t>
  </si>
  <si>
    <t>Talavera, C., Martínez Poyatos, D. and González Lodeiro, F. 2015. SHRIMP U–Pb geochronological constraints on the timing of the intra-Alcudian (Cadomian) angular unconformity in the Central Iberian Zone (Iberian Massif, Spain). International Journal of Earth Sciences, 104, 1739–1757, https://doi.org/10.1007/s00531-015-1171-5.</t>
  </si>
  <si>
    <t>Tierney, F.L., Billings, M.P. and Cassidy, M.M. 1968. Geology of the city tunnel, Greater Boston, Massachusetts. Boston Society of Civil Engineers, 55, 60–96.</t>
  </si>
  <si>
    <t>Tollo, R.P. and Aleinikoff, J.N. 1996. Petrology and U-Pb geochronology of the Robertson River igneous suite, Blue Ridge Province, Virginia; evidence for multistage magmatism associated with an early episode of Laurentian rifting. American Journal of Science, 296, 1045–1090, https://doi.org/10.2475/ajs.296.9.1045.</t>
  </si>
  <si>
    <t>Wallace, M., Gostin, V. and Keays, R. 1996. Sedimentology of the Neoproterozoic Acraman impact-ejecta horizon, South Australia. AGSO Journal of Australian Geology and Geophysics, 16, 443–451.</t>
  </si>
  <si>
    <t>Wang, J., Cheng, S., Bai, W. and Wang. 1983. Glacigenous strata in the western part of the northern Tianshan Mountains. In: Precambrian Geology. Collected Works of Late Precambrian Glacigenous Rocks in China1, 105–118.</t>
  </si>
  <si>
    <t>Wang, X., Zhang, X. and Liu, W. 2021. Biostratigraphic constraints on the age of Neoproterozoic glaciation in North China. Journal of Asian Earth Sciences, 219, 104894, https://doi.org/10.1016/j.jseaes.2021.104894.</t>
  </si>
  <si>
    <t>Webb, A.W., Coats, R.P., Fanning, C.M. and Flint, R.B. 1983. Geochronological framework of the Adelaide Geosyncline. In: Geological Society of Australia Abstracts. 7–9.</t>
  </si>
  <si>
    <t>Wehr, F. and Glover, L.I. 1985. Stratigraphy and tectonics of the Virginia–North Carolina Blue Ridge: Evolution of a late Proterozoic–early Paleozoic hinge zone. GSA Bulletin, 96, 285–295, https://doi.org/10.1130/0016-7606(1985)96%253C285:SATOTV%253E2.0.CO;2.</t>
  </si>
  <si>
    <t>Xiao, S., Bao, H., et al. 2004. The Neoproterozoic Quruqtagh Group in eastern Chinese Tianshan: evidence for a post-Marinoan glaciation. Precambrian Research, 130, 1–26, https://doi.org/10.1016/j.precamres.2003.10.013.</t>
  </si>
  <si>
    <t>Xu, B., Xiao, S., et al. 2009. SHRIMP zircon U–Pb age constraints on Neoproterozoic Quruqtagh diamictites in NW China. Precambrian Research, 168, 247–258, https://doi.org/10.1016/j.precamres.2008.10.008.</t>
  </si>
  <si>
    <t>Yao, J., Xiao, S., Yin, L., Li, G. and Yuan, X. 2005. Basal Cambrian Microfossils from the Yurtus and Xishanblaq Formations (tarim, North-West China): Systematic Revision and Biostratigraphic Correlation of Micrhystridium-Like Acritarchs. Palaeontology, 48, 687–708, https://doi.org/10.1111/j.1475-4983.2005.00484.x.</t>
  </si>
  <si>
    <t>Youbi, N., Ernst, R.E., et al. 2020. The Central Iapetus magmatic province: An updated review and link with the ca. 580 Ma Gaskiers glaciation. In: Adatte, T., Bond, D. P. G. and Keller, G. (eds) Mass Extinctions, Volcanism, and Impacts: New Developments. Geological Society of America Special Paper544, 0., https://doi.org/10.1130/2020.2544(02).</t>
  </si>
  <si>
    <t>Young, T. 1995. The Bunyeroo Formation and Its Possible Cold-Water Marine Setting. BSc (Honours) thesis, University of Adelaide.</t>
  </si>
  <si>
    <t>Zhao, X.S., Zou, Z.H., Niu, D.Y., Zhang, R.L., Zhang, L.Y. and Wang, S.X. 1984. The Sinian system and its glacial deposits in Beishan district. Bulletin of the Xi’an Institute of Geology and Mineral Resources, 7, 29–37.</t>
  </si>
  <si>
    <t>Zhu, M. and Wang, H. 2011. Chapter 33. Neoproterozoic glaciogenic diamictites of the Tarim Block, NW China. In: Arnaud, E., Halverson, G. P. and Shields-Zhou, G. (eds) The Geological Record of Neoproterozoic Glaciations. 0., https://doi.org/10.1144/M36.33.</t>
  </si>
  <si>
    <t>average_longitude</t>
  </si>
  <si>
    <t>average_latitude</t>
  </si>
  <si>
    <t>Corkeron &amp; George 2001</t>
  </si>
  <si>
    <t>Corkeron, M.L. and George, A.D. 2001. Glacial incursion on a Neoproterozoic carbonate platform in the  Kimberley region, Australia. GSA Bulletin, 113, 1121–1132, https://doi.org/10.1130/0016-7606(2001)113%253C1121:GIOANC%253E2.0.CO;2.</t>
  </si>
  <si>
    <t>Mount Ramsay</t>
  </si>
  <si>
    <t>Louisa Downs</t>
  </si>
  <si>
    <t>Bafq mining district</t>
  </si>
  <si>
    <t>Karatau</t>
  </si>
  <si>
    <t>Karatua</t>
  </si>
  <si>
    <t>Ulutau</t>
  </si>
  <si>
    <t>Rang</t>
  </si>
  <si>
    <t>Dzhetym</t>
  </si>
  <si>
    <t>Dzhetymtay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</si>
</sst>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5" x14ac:knownFonts="1">
    <font>
      <sz val="11"/>
      <color theme="1"/>
      <name val="Calibri"/>
      <family val="2"/>
      <scheme val="minor"/>
    </font>
    <font>
      <b/>
      <sz val="11"/>
      <color theme="1"/>
      <name val="Calibri"/>
      <family val="2"/>
      <scheme val="minor"/>
    </font>
    <font>
      <sz val="8"/>
      <name val="Calibri"/>
      <family val="2"/>
      <scheme val="minor"/>
    </font>
    <font>
      <sz val="10"/>
      <name val="Arial"/>
      <family val="2"/>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36">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0" fontId="0" fillId="0" borderId="0" xfId="0" applyAlignment="1">
      <alignment horizontal="right"/>
    </xf>
    <xf numFmtId="2" fontId="0" fillId="0" borderId="0" xfId="0" applyNumberFormat="1" applyAlignment="1">
      <alignment horizontal="right"/>
    </xf>
    <xf numFmtId="2" fontId="0" fillId="0" borderId="0" xfId="0" applyNumberFormat="1"/>
    <xf numFmtId="164" fontId="1" fillId="0" borderId="0" xfId="0" applyNumberFormat="1" applyFont="1" applyAlignment="1">
      <alignment horizontal="left"/>
    </xf>
    <xf numFmtId="0" fontId="0" fillId="0" borderId="0" xfId="0" applyAlignment="1">
      <alignment horizontal="left" vertical="top"/>
    </xf>
    <xf numFmtId="0" fontId="0" fillId="0" borderId="0" xfId="0" applyAlignment="1">
      <alignment horizontal="right" vertical="top"/>
    </xf>
    <xf numFmtId="0" fontId="0" fillId="0" borderId="0" xfId="0" applyAlignment="1">
      <alignment vertical="top"/>
    </xf>
    <xf numFmtId="2" fontId="0" fillId="0" borderId="0" xfId="0" applyNumberFormat="1" applyAlignment="1">
      <alignment horizontal="right" vertical="top"/>
    </xf>
    <xf numFmtId="2" fontId="0" fillId="0" borderId="0" xfId="0" applyNumberFormat="1" applyAlignment="1">
      <alignment horizontal="left" vertical="top"/>
    </xf>
    <xf numFmtId="2" fontId="0" fillId="0" borderId="0" xfId="0" applyNumberFormat="1" applyAlignment="1">
      <alignment horizontal="left"/>
    </xf>
    <xf numFmtId="0" fontId="0" fillId="0" borderId="0" xfId="0" applyFont="1"/>
    <xf numFmtId="0" fontId="0" fillId="0" borderId="0" xfId="0" applyFont="1" applyAlignment="1">
      <alignment horizontal="left"/>
    </xf>
    <xf numFmtId="0" fontId="1" fillId="0" borderId="0" xfId="0" applyFont="1" applyFill="1"/>
    <xf numFmtId="164" fontId="1" fillId="0" borderId="0" xfId="0" applyNumberFormat="1" applyFont="1" applyFill="1" applyAlignment="1">
      <alignment horizontal="left"/>
    </xf>
    <xf numFmtId="0" fontId="1" fillId="0" borderId="0" xfId="0" applyFont="1" applyFill="1" applyAlignment="1">
      <alignment horizontal="left"/>
    </xf>
    <xf numFmtId="2" fontId="1" fillId="0" borderId="0" xfId="0" applyNumberFormat="1" applyFont="1" applyFill="1" applyAlignment="1">
      <alignment horizontal="left"/>
    </xf>
    <xf numFmtId="0" fontId="0" fillId="0" borderId="0" xfId="0" applyFont="1" applyFill="1"/>
    <xf numFmtId="0" fontId="0" fillId="0" borderId="0" xfId="0" applyFill="1"/>
    <xf numFmtId="0" fontId="0" fillId="0" borderId="0" xfId="0" applyFill="1" applyAlignment="1">
      <alignment horizontal="left"/>
    </xf>
    <xf numFmtId="0" fontId="0" fillId="0" borderId="0" xfId="0" applyFill="1" applyAlignment="1">
      <alignment horizontal="right"/>
    </xf>
    <xf numFmtId="2" fontId="0" fillId="0" borderId="0" xfId="0" applyNumberFormat="1" applyFill="1" applyAlignment="1">
      <alignment horizontal="right"/>
    </xf>
    <xf numFmtId="2" fontId="0" fillId="0" borderId="0" xfId="0" applyNumberFormat="1" applyFill="1"/>
    <xf numFmtId="0" fontId="0" fillId="0" borderId="0" xfId="0" applyFill="1" applyAlignment="1">
      <alignment horizontal="left" vertical="center"/>
    </xf>
    <xf numFmtId="2" fontId="0" fillId="0" borderId="0" xfId="0" applyNumberFormat="1" applyFill="1" applyAlignment="1">
      <alignment horizontal="right" vertical="center"/>
    </xf>
    <xf numFmtId="2" fontId="0" fillId="0" borderId="0" xfId="0" applyNumberFormat="1" applyFill="1" applyAlignment="1">
      <alignment vertical="center"/>
    </xf>
    <xf numFmtId="0" fontId="4" fillId="0" borderId="0" xfId="0" applyFont="1" applyFill="1"/>
    <xf numFmtId="165" fontId="0" fillId="0" borderId="0" xfId="0" applyNumberFormat="1" applyAlignment="1">
      <alignment horizontal="right" vertical="top"/>
    </xf>
    <xf numFmtId="165" fontId="0" fillId="0" borderId="0" xfId="0" applyNumberFormat="1" applyAlignment="1">
      <alignment horizontal="right"/>
    </xf>
    <xf numFmtId="0" fontId="1" fillId="0" borderId="0" xfId="0" applyFont="1" applyAlignment="1"/>
    <xf numFmtId="165" fontId="1" fillId="0" borderId="0" xfId="0" applyNumberFormat="1" applyFont="1" applyAlignment="1"/>
    <xf numFmtId="2" fontId="1" fillId="0" borderId="0" xfId="0" applyNumberFormat="1" applyFont="1" applyAlignment="1"/>
    <xf numFmtId="0" fontId="0" fillId="0" borderId="0" xfId="0" applyAlignment="1"/>
  </cellXfs>
  <cellStyles count="2">
    <cellStyle name="Normal" xfId="0" builtinId="0"/>
    <cellStyle name="Normal 4" xfId="1" xr:uid="{86746790-7E57-4409-9813-A87A55EC22AE}"/>
  </cellStyles>
  <dxfs count="13">
    <dxf>
      <fill>
        <patternFill>
          <bgColor theme="7"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8F8F"/>
        </patternFill>
      </fill>
    </dxf>
    <dxf>
      <fill>
        <patternFill>
          <bgColor theme="7" tint="0.79998168889431442"/>
        </patternFill>
      </fill>
    </dxf>
    <dxf>
      <fill>
        <patternFill>
          <bgColor rgb="FFFF0000"/>
        </patternFill>
      </fill>
    </dxf>
    <dxf>
      <fill>
        <patternFill>
          <bgColor theme="7" tint="0.79998168889431442"/>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tes/Team_50e7ef44-cf14-4331-9753-a21980019714/Shared%20Documents/General/Data/ecesd_age_model_databa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erences"/>
      <sheetName val="sections"/>
      <sheetName val="sections_age_models"/>
      <sheetName val="csl_occurrences"/>
      <sheetName val="csl_deposits"/>
      <sheetName val="csl_age_constraints"/>
      <sheetName val="data_geochemistry"/>
      <sheetName val="data_palaeobiology"/>
      <sheetName val="palaeobiology_taxonomy"/>
    </sheetNames>
    <sheetDataSet>
      <sheetData sheetId="0"/>
      <sheetData sheetId="1"/>
      <sheetData sheetId="2"/>
      <sheetData sheetId="3"/>
      <sheetData sheetId="4">
        <row r="1">
          <cell r="A1" t="str">
            <v>deposit_id</v>
          </cell>
          <cell r="B1" t="str">
            <v>deposit_name</v>
          </cell>
        </row>
        <row r="2">
          <cell r="A2">
            <v>1</v>
          </cell>
          <cell r="B2" t="str">
            <v>Antaq Polymictic Conglomerate</v>
          </cell>
        </row>
        <row r="3">
          <cell r="A3">
            <v>2</v>
          </cell>
          <cell r="B3" t="str">
            <v>Baykonur Formation</v>
          </cell>
        </row>
        <row r="4">
          <cell r="A4">
            <v>3</v>
          </cell>
          <cell r="B4" t="str">
            <v>Biexibastao Formation</v>
          </cell>
        </row>
        <row r="5">
          <cell r="A5">
            <v>4</v>
          </cell>
          <cell r="B5" t="str">
            <v>Billy Springs Formation</v>
          </cell>
        </row>
        <row r="6">
          <cell r="A6">
            <v>5</v>
          </cell>
          <cell r="B6" t="str">
            <v>Blon Formation</v>
          </cell>
        </row>
        <row r="7">
          <cell r="A7">
            <v>6</v>
          </cell>
          <cell r="B7" t="str">
            <v>Boondawari Formation</v>
          </cell>
        </row>
        <row r="8">
          <cell r="A8">
            <v>7</v>
          </cell>
          <cell r="B8" t="str">
            <v>Boord Formation</v>
          </cell>
        </row>
        <row r="9">
          <cell r="A9">
            <v>8</v>
          </cell>
          <cell r="B9" t="str">
            <v>Bradore Formation</v>
          </cell>
        </row>
        <row r="10">
          <cell r="A10">
            <v>9</v>
          </cell>
          <cell r="B10" t="str">
            <v>Bunyeroo Formation</v>
          </cell>
        </row>
        <row r="11">
          <cell r="A11">
            <v>91</v>
          </cell>
          <cell r="B11" t="str">
            <v>Bunyeroo Gorge oolite</v>
          </cell>
        </row>
        <row r="12">
          <cell r="A12">
            <v>10</v>
          </cell>
          <cell r="B12" t="str">
            <v>Chameis Gate Member</v>
          </cell>
        </row>
        <row r="13">
          <cell r="A13">
            <v>11</v>
          </cell>
          <cell r="B13" t="str">
            <v>Churochnaya Formation</v>
          </cell>
        </row>
        <row r="14">
          <cell r="A14">
            <v>12</v>
          </cell>
          <cell r="B14" t="str">
            <v>Clanzschwitz diamictite</v>
          </cell>
        </row>
        <row r="15">
          <cell r="A15">
            <v>13</v>
          </cell>
          <cell r="B15" t="str">
            <v>Cottons Breccia</v>
          </cell>
        </row>
        <row r="16">
          <cell r="A16">
            <v>14</v>
          </cell>
          <cell r="B16" t="str">
            <v>Croles Hill diamictite</v>
          </cell>
        </row>
        <row r="17">
          <cell r="A17">
            <v>15</v>
          </cell>
          <cell r="B17" t="str">
            <v>Dey Dey Mudstone</v>
          </cell>
        </row>
        <row r="18">
          <cell r="A18">
            <v>16</v>
          </cell>
          <cell r="B18" t="str">
            <v>Dhaiqa Formation</v>
          </cell>
        </row>
        <row r="19">
          <cell r="A19">
            <v>17</v>
          </cell>
          <cell r="B19" t="str">
            <v>Doushantuo Formation</v>
          </cell>
        </row>
        <row r="20">
          <cell r="A20">
            <v>18</v>
          </cell>
          <cell r="B20" t="str">
            <v>Doushantuo glendonites</v>
          </cell>
        </row>
        <row r="21">
          <cell r="A21">
            <v>19</v>
          </cell>
          <cell r="B21" t="str">
            <v>Ediacara Member</v>
          </cell>
        </row>
        <row r="22">
          <cell r="A22">
            <v>20</v>
          </cell>
          <cell r="B22" t="str">
            <v>Egan Formation</v>
          </cell>
        </row>
        <row r="23">
          <cell r="A23">
            <v>21</v>
          </cell>
          <cell r="B23" t="str">
            <v>Erga Formation</v>
          </cell>
        </row>
        <row r="24">
          <cell r="A24">
            <v>22</v>
          </cell>
          <cell r="B24" t="str">
            <v>Esfordi Formation</v>
          </cell>
        </row>
        <row r="25">
          <cell r="A25">
            <v>23</v>
          </cell>
          <cell r="B25" t="str">
            <v>Fargoo Formation</v>
          </cell>
        </row>
        <row r="26">
          <cell r="A26">
            <v>24</v>
          </cell>
          <cell r="B26" t="str">
            <v>Fauquier Formation</v>
          </cell>
        </row>
        <row r="27">
          <cell r="A27">
            <v>92</v>
          </cell>
          <cell r="B27" t="str">
            <v>Fengtai Formation</v>
          </cell>
        </row>
        <row r="28">
          <cell r="A28">
            <v>25</v>
          </cell>
          <cell r="B28" t="str">
            <v>Fersiga Group</v>
          </cell>
        </row>
        <row r="29">
          <cell r="A29">
            <v>26</v>
          </cell>
          <cell r="B29" t="str">
            <v>Gaskiers Formation</v>
          </cell>
        </row>
        <row r="30">
          <cell r="A30">
            <v>27</v>
          </cell>
          <cell r="B30" t="str">
            <v>Glussk Formation</v>
          </cell>
        </row>
        <row r="31">
          <cell r="A31">
            <v>28</v>
          </cell>
          <cell r="B31" t="str">
            <v>Granville Formation</v>
          </cell>
        </row>
        <row r="32">
          <cell r="A32">
            <v>29</v>
          </cell>
          <cell r="B32" t="str">
            <v>Gwna Group</v>
          </cell>
        </row>
        <row r="33">
          <cell r="A33">
            <v>30</v>
          </cell>
          <cell r="B33" t="str">
            <v>Hankalchough Formation</v>
          </cell>
        </row>
        <row r="34">
          <cell r="A34">
            <v>31</v>
          </cell>
          <cell r="B34" t="str">
            <v>Helmeth Grits</v>
          </cell>
        </row>
        <row r="35">
          <cell r="A35">
            <v>32</v>
          </cell>
          <cell r="B35" t="str">
            <v>Hongtiegou Formation</v>
          </cell>
        </row>
        <row r="36">
          <cell r="A36">
            <v>33</v>
          </cell>
          <cell r="B36" t="str">
            <v>Hrushka Formation</v>
          </cell>
        </row>
        <row r="37">
          <cell r="A37">
            <v>34</v>
          </cell>
          <cell r="B37" t="str">
            <v>Huckster Conglomerate</v>
          </cell>
        </row>
        <row r="38">
          <cell r="A38">
            <v>35</v>
          </cell>
          <cell r="B38" t="str">
            <v>Inishowen beds</v>
          </cell>
        </row>
        <row r="39">
          <cell r="A39">
            <v>36</v>
          </cell>
          <cell r="B39" t="str">
            <v>Iporanga Formation</v>
          </cell>
        </row>
        <row r="40">
          <cell r="A40">
            <v>37</v>
          </cell>
          <cell r="B40" t="str">
            <v>Ishim River diamictite</v>
          </cell>
        </row>
        <row r="41">
          <cell r="A41">
            <v>38</v>
          </cell>
          <cell r="B41" t="str">
            <v>Izdar Member</v>
          </cell>
        </row>
        <row r="42">
          <cell r="A42">
            <v>90</v>
          </cell>
          <cell r="B42" t="str">
            <v>Johnnie Oolite</v>
          </cell>
        </row>
        <row r="43">
          <cell r="A43">
            <v>39</v>
          </cell>
          <cell r="B43" t="str">
            <v>Kahar Formation</v>
          </cell>
        </row>
        <row r="44">
          <cell r="A44">
            <v>40</v>
          </cell>
          <cell r="B44" t="str">
            <v>Koyva Formation</v>
          </cell>
        </row>
        <row r="45">
          <cell r="A45">
            <v>41</v>
          </cell>
          <cell r="B45" t="str">
            <v>Kurgashlya Formation</v>
          </cell>
        </row>
        <row r="46">
          <cell r="A46">
            <v>42</v>
          </cell>
          <cell r="B46" t="str">
            <v>Landrigan Formation</v>
          </cell>
        </row>
        <row r="47">
          <cell r="A47">
            <v>43</v>
          </cell>
          <cell r="B47" t="str">
            <v>Langmarkberg Formation</v>
          </cell>
        </row>
        <row r="48">
          <cell r="A48">
            <v>44</v>
          </cell>
          <cell r="B48" t="str">
            <v>Las Ventanas Formation</v>
          </cell>
        </row>
        <row r="49">
          <cell r="A49">
            <v>45</v>
          </cell>
          <cell r="B49" t="str">
            <v>Lillfjället Formation</v>
          </cell>
        </row>
        <row r="50">
          <cell r="A50">
            <v>46</v>
          </cell>
          <cell r="B50" t="str">
            <v>Little Burke Tillite</v>
          </cell>
        </row>
        <row r="51">
          <cell r="A51">
            <v>47</v>
          </cell>
          <cell r="B51" t="str">
            <v>Loch na Cille beds</v>
          </cell>
        </row>
        <row r="52">
          <cell r="A52">
            <v>48</v>
          </cell>
          <cell r="B52" t="str">
            <v>Luoquan Formation</v>
          </cell>
        </row>
        <row r="53">
          <cell r="A53">
            <v>49</v>
          </cell>
          <cell r="B53" t="str">
            <v>Lyamtsa Formation</v>
          </cell>
        </row>
        <row r="54">
          <cell r="A54">
            <v>50</v>
          </cell>
          <cell r="B54" t="str">
            <v>Mall Bay Formation</v>
          </cell>
        </row>
        <row r="55">
          <cell r="A55">
            <v>51</v>
          </cell>
          <cell r="B55" t="str">
            <v>Marnya Formation</v>
          </cell>
        </row>
        <row r="56">
          <cell r="A56">
            <v>52</v>
          </cell>
          <cell r="B56" t="str">
            <v>Mechum River Formation</v>
          </cell>
        </row>
        <row r="57">
          <cell r="A57">
            <v>93</v>
          </cell>
          <cell r="B57" t="str">
            <v>Mercantile diamictite</v>
          </cell>
        </row>
        <row r="58">
          <cell r="A58">
            <v>53</v>
          </cell>
          <cell r="B58" t="str">
            <v>Mistaken Point Formation</v>
          </cell>
        </row>
        <row r="59">
          <cell r="A59">
            <v>54</v>
          </cell>
          <cell r="B59" t="str">
            <v>Moelv Formation</v>
          </cell>
        </row>
        <row r="60">
          <cell r="A60">
            <v>55</v>
          </cell>
          <cell r="B60" t="str">
            <v>Mortensnes Formation</v>
          </cell>
        </row>
        <row r="61">
          <cell r="A61">
            <v>56</v>
          </cell>
          <cell r="B61" t="str">
            <v>Mount Cornish Formation</v>
          </cell>
        </row>
        <row r="62">
          <cell r="A62">
            <v>57</v>
          </cell>
          <cell r="B62" t="str">
            <v>Mount Lloyd George Formation</v>
          </cell>
        </row>
        <row r="63">
          <cell r="A63">
            <v>58</v>
          </cell>
          <cell r="B63" t="str">
            <v>Muglitz Formation</v>
          </cell>
        </row>
        <row r="64">
          <cell r="A64">
            <v>59</v>
          </cell>
          <cell r="B64" t="str">
            <v>Naburula Formation</v>
          </cell>
        </row>
        <row r="65">
          <cell r="A65">
            <v>60</v>
          </cell>
          <cell r="B65" t="str">
            <v>Numees Formation</v>
          </cell>
        </row>
        <row r="66">
          <cell r="A66">
            <v>61</v>
          </cell>
          <cell r="B66" t="str">
            <v>Oorabra Formation</v>
          </cell>
        </row>
        <row r="67">
          <cell r="A67">
            <v>62</v>
          </cell>
          <cell r="B67" t="str">
            <v>Orellana Formation</v>
          </cell>
        </row>
        <row r="68">
          <cell r="A68">
            <v>63</v>
          </cell>
          <cell r="B68" t="str">
            <v>Ouarzazate Group</v>
          </cell>
        </row>
        <row r="69">
          <cell r="A69">
            <v>64</v>
          </cell>
          <cell r="B69" t="str">
            <v>Playa Hermosa Formation</v>
          </cell>
        </row>
        <row r="70">
          <cell r="A70">
            <v>65</v>
          </cell>
          <cell r="B70" t="str">
            <v>Pourpree de l'Ahnet Group</v>
          </cell>
        </row>
        <row r="71">
          <cell r="A71">
            <v>66</v>
          </cell>
          <cell r="B71" t="str">
            <v>Rang Formation</v>
          </cell>
        </row>
        <row r="72">
          <cell r="A72">
            <v>67</v>
          </cell>
          <cell r="B72" t="str">
            <v>Rockfish Conglomerate</v>
          </cell>
        </row>
        <row r="73">
          <cell r="A73">
            <v>68</v>
          </cell>
          <cell r="B73" t="str">
            <v>Serra Azul Unit A</v>
          </cell>
        </row>
        <row r="74">
          <cell r="A74">
            <v>69</v>
          </cell>
          <cell r="B74" t="str">
            <v>Shaohuotong Formation</v>
          </cell>
        </row>
        <row r="75">
          <cell r="A75">
            <v>70</v>
          </cell>
          <cell r="B75" t="str">
            <v>Sliding Stones Slump Breccia</v>
          </cell>
        </row>
        <row r="76">
          <cell r="A76">
            <v>71</v>
          </cell>
          <cell r="B76" t="str">
            <v>South Quarry Breccia</v>
          </cell>
        </row>
        <row r="77">
          <cell r="A77">
            <v>72</v>
          </cell>
          <cell r="B77" t="str">
            <v>Squantum diamictite</v>
          </cell>
        </row>
        <row r="78">
          <cell r="A78">
            <v>73</v>
          </cell>
          <cell r="B78" t="str">
            <v>Starye Pechi Formation</v>
          </cell>
        </row>
        <row r="79">
          <cell r="A79">
            <v>74</v>
          </cell>
          <cell r="B79" t="str">
            <v>Storeelv Formation</v>
          </cell>
        </row>
        <row r="80">
          <cell r="A80">
            <v>75</v>
          </cell>
          <cell r="B80" t="str">
            <v>Talisayi Formation</v>
          </cell>
        </row>
        <row r="81">
          <cell r="A81">
            <v>76</v>
          </cell>
          <cell r="B81" t="str">
            <v>Tany Formation</v>
          </cell>
        </row>
        <row r="82">
          <cell r="A82">
            <v>77</v>
          </cell>
          <cell r="B82" t="str">
            <v>Tiddiline Group</v>
          </cell>
        </row>
        <row r="83">
          <cell r="A83">
            <v>78</v>
          </cell>
          <cell r="B83" t="str">
            <v>Tillery Formation</v>
          </cell>
        </row>
        <row r="84">
          <cell r="A84">
            <v>79</v>
          </cell>
          <cell r="B84" t="str">
            <v>Trinity diamictite</v>
          </cell>
        </row>
        <row r="85">
          <cell r="A85">
            <v>80</v>
          </cell>
          <cell r="B85" t="str">
            <v>Ulveso Formation</v>
          </cell>
        </row>
        <row r="86">
          <cell r="A86">
            <v>81</v>
          </cell>
          <cell r="B86" t="str">
            <v>Vingerbreek Member</v>
          </cell>
        </row>
        <row r="87">
          <cell r="A87">
            <v>82</v>
          </cell>
          <cell r="B87" t="str">
            <v>Wegleszyn Tilloid</v>
          </cell>
        </row>
        <row r="88">
          <cell r="A88">
            <v>83</v>
          </cell>
          <cell r="B88" t="str">
            <v>Weija Tillite</v>
          </cell>
        </row>
        <row r="89">
          <cell r="A89">
            <v>84</v>
          </cell>
          <cell r="B89" t="str">
            <v>Wonoka Formation</v>
          </cell>
        </row>
        <row r="90">
          <cell r="A90">
            <v>85</v>
          </cell>
          <cell r="B90" t="str">
            <v>Xichangjing Formation</v>
          </cell>
        </row>
        <row r="91">
          <cell r="A91">
            <v>86</v>
          </cell>
          <cell r="B91" t="str">
            <v>Yardida Formation</v>
          </cell>
        </row>
        <row r="92">
          <cell r="A92">
            <v>87</v>
          </cell>
          <cell r="B92" t="str">
            <v>Zabit Formation</v>
          </cell>
        </row>
        <row r="93">
          <cell r="A93">
            <v>88</v>
          </cell>
          <cell r="B93" t="str">
            <v>Zhengmuguan Formation</v>
          </cell>
        </row>
        <row r="94">
          <cell r="A94">
            <v>89</v>
          </cell>
          <cell r="B94" t="str">
            <v>Zukow Formation</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5F343-A142-424F-B319-CF12FAEC0814}">
  <dimension ref="A1:D167"/>
  <sheetViews>
    <sheetView zoomScale="85" zoomScaleNormal="85" workbookViewId="0">
      <pane xSplit="2" ySplit="1" topLeftCell="C143" activePane="bottomRight" state="frozen"/>
      <selection pane="topRight" activeCell="C1" sqref="C1"/>
      <selection pane="bottomLeft" activeCell="A2" sqref="A2"/>
      <selection pane="bottomRight" activeCell="B168" sqref="B168"/>
    </sheetView>
  </sheetViews>
  <sheetFormatPr defaultRowHeight="14.5" x14ac:dyDescent="0.35"/>
  <cols>
    <col min="1" max="1" width="14.26953125" bestFit="1" customWidth="1"/>
    <col min="2" max="2" width="30.90625" customWidth="1"/>
    <col min="3" max="3" width="16.36328125" bestFit="1" customWidth="1"/>
    <col min="4" max="4" width="38.1796875" customWidth="1"/>
  </cols>
  <sheetData>
    <row r="1" spans="1:4" s="1" customFormat="1" x14ac:dyDescent="0.35">
      <c r="A1" s="1" t="s">
        <v>505</v>
      </c>
      <c r="B1" s="1" t="s">
        <v>506</v>
      </c>
      <c r="C1" s="1" t="s">
        <v>507</v>
      </c>
      <c r="D1" s="1" t="s">
        <v>508</v>
      </c>
    </row>
    <row r="2" spans="1:4" s="14" customFormat="1" x14ac:dyDescent="0.35">
      <c r="A2">
        <v>14</v>
      </c>
      <c r="B2" t="s">
        <v>29</v>
      </c>
      <c r="C2">
        <v>2021</v>
      </c>
      <c r="D2" t="s">
        <v>470</v>
      </c>
    </row>
    <row r="3" spans="1:4" x14ac:dyDescent="0.35">
      <c r="A3">
        <v>17</v>
      </c>
      <c r="B3" t="s">
        <v>107</v>
      </c>
      <c r="C3">
        <v>2013</v>
      </c>
      <c r="D3" t="s">
        <v>471</v>
      </c>
    </row>
    <row r="4" spans="1:4" x14ac:dyDescent="0.35">
      <c r="A4">
        <v>20</v>
      </c>
      <c r="B4" t="s">
        <v>74</v>
      </c>
      <c r="C4">
        <v>2004</v>
      </c>
      <c r="D4" t="s">
        <v>473</v>
      </c>
    </row>
    <row r="5" spans="1:4" x14ac:dyDescent="0.35">
      <c r="A5">
        <v>23</v>
      </c>
      <c r="B5" t="s">
        <v>138</v>
      </c>
      <c r="C5">
        <v>2016</v>
      </c>
      <c r="D5" t="s">
        <v>474</v>
      </c>
    </row>
    <row r="6" spans="1:4" x14ac:dyDescent="0.35">
      <c r="A6">
        <v>25</v>
      </c>
      <c r="B6" t="s">
        <v>463</v>
      </c>
      <c r="C6">
        <v>2020</v>
      </c>
      <c r="D6" t="s">
        <v>475</v>
      </c>
    </row>
    <row r="7" spans="1:4" x14ac:dyDescent="0.35">
      <c r="A7">
        <v>27</v>
      </c>
      <c r="B7" t="s">
        <v>35</v>
      </c>
      <c r="C7">
        <v>2023</v>
      </c>
      <c r="D7" t="s">
        <v>476</v>
      </c>
    </row>
    <row r="8" spans="1:4" x14ac:dyDescent="0.35">
      <c r="A8">
        <v>28</v>
      </c>
      <c r="B8" t="s">
        <v>377</v>
      </c>
      <c r="C8">
        <v>2002</v>
      </c>
      <c r="D8" t="s">
        <v>477</v>
      </c>
    </row>
    <row r="9" spans="1:4" x14ac:dyDescent="0.35">
      <c r="A9">
        <v>29</v>
      </c>
      <c r="B9" t="s">
        <v>357</v>
      </c>
      <c r="C9">
        <v>2000</v>
      </c>
      <c r="D9" t="s">
        <v>478</v>
      </c>
    </row>
    <row r="10" spans="1:4" x14ac:dyDescent="0.35">
      <c r="A10">
        <v>31</v>
      </c>
      <c r="B10" t="s">
        <v>425</v>
      </c>
      <c r="C10">
        <v>2022</v>
      </c>
      <c r="D10" t="s">
        <v>479</v>
      </c>
    </row>
    <row r="11" spans="1:4" x14ac:dyDescent="0.35">
      <c r="A11">
        <v>32</v>
      </c>
      <c r="B11" t="s">
        <v>95</v>
      </c>
      <c r="C11">
        <v>2008</v>
      </c>
      <c r="D11" t="s">
        <v>480</v>
      </c>
    </row>
    <row r="12" spans="1:4" x14ac:dyDescent="0.35">
      <c r="A12">
        <v>34</v>
      </c>
      <c r="B12" t="s">
        <v>225</v>
      </c>
      <c r="C12">
        <v>2018</v>
      </c>
      <c r="D12" t="s">
        <v>481</v>
      </c>
    </row>
    <row r="13" spans="1:4" x14ac:dyDescent="0.35">
      <c r="A13">
        <v>36</v>
      </c>
      <c r="B13" t="s">
        <v>56</v>
      </c>
      <c r="C13">
        <v>2018</v>
      </c>
      <c r="D13" t="s">
        <v>482</v>
      </c>
    </row>
    <row r="14" spans="1:4" x14ac:dyDescent="0.35">
      <c r="A14">
        <v>38</v>
      </c>
      <c r="B14" t="s">
        <v>147</v>
      </c>
      <c r="C14">
        <v>2022</v>
      </c>
      <c r="D14" t="s">
        <v>483</v>
      </c>
    </row>
    <row r="15" spans="1:4" x14ac:dyDescent="0.35">
      <c r="A15">
        <v>41</v>
      </c>
      <c r="B15" t="s">
        <v>343</v>
      </c>
      <c r="C15">
        <v>2006</v>
      </c>
      <c r="D15" t="s">
        <v>484</v>
      </c>
    </row>
    <row r="16" spans="1:4" x14ac:dyDescent="0.35">
      <c r="A16">
        <v>44</v>
      </c>
      <c r="B16" t="s">
        <v>288</v>
      </c>
      <c r="C16">
        <v>2005</v>
      </c>
      <c r="D16" t="s">
        <v>485</v>
      </c>
    </row>
    <row r="17" spans="1:4" x14ac:dyDescent="0.35">
      <c r="A17">
        <v>45</v>
      </c>
      <c r="B17" t="s">
        <v>319</v>
      </c>
      <c r="C17">
        <v>2014</v>
      </c>
      <c r="D17" t="s">
        <v>486</v>
      </c>
    </row>
    <row r="18" spans="1:4" x14ac:dyDescent="0.35">
      <c r="A18">
        <v>47</v>
      </c>
      <c r="B18" t="s">
        <v>419</v>
      </c>
      <c r="C18">
        <v>2007</v>
      </c>
      <c r="D18" t="s">
        <v>487</v>
      </c>
    </row>
    <row r="19" spans="1:4" x14ac:dyDescent="0.35">
      <c r="A19">
        <v>55</v>
      </c>
      <c r="B19" t="s">
        <v>234</v>
      </c>
      <c r="C19">
        <v>2016</v>
      </c>
      <c r="D19" t="s">
        <v>488</v>
      </c>
    </row>
    <row r="20" spans="1:4" x14ac:dyDescent="0.35">
      <c r="A20">
        <v>56</v>
      </c>
      <c r="B20" t="s">
        <v>344</v>
      </c>
      <c r="C20">
        <v>2010</v>
      </c>
      <c r="D20" t="s">
        <v>489</v>
      </c>
    </row>
    <row r="21" spans="1:4" x14ac:dyDescent="0.35">
      <c r="A21">
        <v>58</v>
      </c>
      <c r="B21" t="s">
        <v>243</v>
      </c>
      <c r="C21">
        <v>2011</v>
      </c>
      <c r="D21" t="s">
        <v>490</v>
      </c>
    </row>
    <row r="22" spans="1:4" x14ac:dyDescent="0.35">
      <c r="A22">
        <v>62</v>
      </c>
      <c r="B22" t="s">
        <v>390</v>
      </c>
      <c r="C22">
        <v>2004</v>
      </c>
      <c r="D22" t="s">
        <v>491</v>
      </c>
    </row>
    <row r="23" spans="1:4" x14ac:dyDescent="0.35">
      <c r="A23">
        <v>66</v>
      </c>
      <c r="B23" t="s">
        <v>244</v>
      </c>
      <c r="C23">
        <v>2013</v>
      </c>
      <c r="D23" t="s">
        <v>492</v>
      </c>
    </row>
    <row r="24" spans="1:4" x14ac:dyDescent="0.35">
      <c r="A24">
        <v>72</v>
      </c>
      <c r="B24" t="s">
        <v>113</v>
      </c>
      <c r="C24">
        <v>2017</v>
      </c>
      <c r="D24" t="s">
        <v>493</v>
      </c>
    </row>
    <row r="25" spans="1:4" x14ac:dyDescent="0.35">
      <c r="A25">
        <v>74</v>
      </c>
      <c r="B25" t="s">
        <v>494</v>
      </c>
      <c r="C25">
        <v>2018</v>
      </c>
      <c r="D25" t="s">
        <v>495</v>
      </c>
    </row>
    <row r="26" spans="1:4" x14ac:dyDescent="0.35">
      <c r="A26">
        <v>76</v>
      </c>
      <c r="B26" t="s">
        <v>201</v>
      </c>
      <c r="C26">
        <v>2021</v>
      </c>
      <c r="D26" t="s">
        <v>496</v>
      </c>
    </row>
    <row r="27" spans="1:4" x14ac:dyDescent="0.35">
      <c r="A27">
        <v>88</v>
      </c>
      <c r="B27" t="s">
        <v>455</v>
      </c>
      <c r="C27">
        <v>2023</v>
      </c>
      <c r="D27" t="s">
        <v>498</v>
      </c>
    </row>
    <row r="28" spans="1:4" x14ac:dyDescent="0.35">
      <c r="A28">
        <v>91</v>
      </c>
      <c r="B28" t="s">
        <v>77</v>
      </c>
      <c r="C28">
        <v>2013</v>
      </c>
      <c r="D28" t="s">
        <v>499</v>
      </c>
    </row>
    <row r="29" spans="1:4" x14ac:dyDescent="0.35">
      <c r="A29">
        <v>92</v>
      </c>
      <c r="B29" t="s">
        <v>458</v>
      </c>
      <c r="C29">
        <v>2020</v>
      </c>
      <c r="D29" t="s">
        <v>500</v>
      </c>
    </row>
    <row r="30" spans="1:4" x14ac:dyDescent="0.35">
      <c r="A30">
        <v>95</v>
      </c>
      <c r="B30" t="s">
        <v>466</v>
      </c>
      <c r="C30">
        <v>2023</v>
      </c>
      <c r="D30" t="s">
        <v>501</v>
      </c>
    </row>
    <row r="31" spans="1:4" x14ac:dyDescent="0.35">
      <c r="A31">
        <v>121</v>
      </c>
      <c r="B31" t="s">
        <v>1396</v>
      </c>
      <c r="C31">
        <v>2017</v>
      </c>
      <c r="D31" t="s">
        <v>502</v>
      </c>
    </row>
    <row r="32" spans="1:4" x14ac:dyDescent="0.35">
      <c r="A32">
        <v>135</v>
      </c>
      <c r="B32" t="s">
        <v>469</v>
      </c>
      <c r="C32">
        <v>2023</v>
      </c>
      <c r="D32" t="s">
        <v>503</v>
      </c>
    </row>
    <row r="33" spans="1:4" x14ac:dyDescent="0.35">
      <c r="A33">
        <v>178</v>
      </c>
      <c r="B33" t="s">
        <v>93</v>
      </c>
      <c r="C33">
        <v>2013</v>
      </c>
      <c r="D33" t="s">
        <v>504</v>
      </c>
    </row>
    <row r="34" spans="1:4" x14ac:dyDescent="0.35">
      <c r="A34">
        <v>204</v>
      </c>
      <c r="B34" t="s">
        <v>1178</v>
      </c>
      <c r="C34">
        <v>2011</v>
      </c>
      <c r="D34" t="s">
        <v>1435</v>
      </c>
    </row>
    <row r="35" spans="1:4" x14ac:dyDescent="0.35">
      <c r="A35">
        <v>205</v>
      </c>
      <c r="B35" t="s">
        <v>401</v>
      </c>
      <c r="C35">
        <v>2006</v>
      </c>
      <c r="D35" t="s">
        <v>1180</v>
      </c>
    </row>
    <row r="36" spans="1:4" x14ac:dyDescent="0.35">
      <c r="A36">
        <v>206</v>
      </c>
      <c r="B36" t="s">
        <v>402</v>
      </c>
      <c r="C36">
        <v>2009</v>
      </c>
      <c r="D36" t="s">
        <v>1181</v>
      </c>
    </row>
    <row r="37" spans="1:4" x14ac:dyDescent="0.35">
      <c r="A37">
        <v>207</v>
      </c>
      <c r="B37" t="s">
        <v>396</v>
      </c>
      <c r="C37">
        <v>2006</v>
      </c>
      <c r="D37" t="s">
        <v>1182</v>
      </c>
    </row>
    <row r="38" spans="1:4" x14ac:dyDescent="0.35">
      <c r="A38">
        <v>210</v>
      </c>
      <c r="B38" t="s">
        <v>10</v>
      </c>
      <c r="C38">
        <v>2014</v>
      </c>
      <c r="D38" t="s">
        <v>1183</v>
      </c>
    </row>
    <row r="39" spans="1:4" x14ac:dyDescent="0.35">
      <c r="A39">
        <v>211</v>
      </c>
      <c r="B39" t="s">
        <v>68</v>
      </c>
      <c r="C39">
        <v>2024</v>
      </c>
      <c r="D39" t="s">
        <v>1370</v>
      </c>
    </row>
    <row r="40" spans="1:4" x14ac:dyDescent="0.35">
      <c r="A40">
        <v>212</v>
      </c>
      <c r="B40" t="s">
        <v>1375</v>
      </c>
      <c r="C40">
        <v>2011</v>
      </c>
      <c r="D40" t="s">
        <v>1373</v>
      </c>
    </row>
    <row r="41" spans="1:4" x14ac:dyDescent="0.35">
      <c r="A41">
        <v>213</v>
      </c>
      <c r="B41" t="s">
        <v>1376</v>
      </c>
      <c r="C41">
        <v>2011</v>
      </c>
      <c r="D41" t="s">
        <v>1372</v>
      </c>
    </row>
    <row r="42" spans="1:4" x14ac:dyDescent="0.35">
      <c r="A42">
        <v>214</v>
      </c>
      <c r="B42" t="s">
        <v>1371</v>
      </c>
      <c r="C42">
        <v>2011</v>
      </c>
      <c r="D42" t="s">
        <v>1374</v>
      </c>
    </row>
    <row r="43" spans="1:4" x14ac:dyDescent="0.35">
      <c r="A43">
        <v>215</v>
      </c>
      <c r="B43" t="s">
        <v>1118</v>
      </c>
      <c r="C43">
        <v>2024</v>
      </c>
      <c r="D43" t="s">
        <v>1378</v>
      </c>
    </row>
    <row r="44" spans="1:4" x14ac:dyDescent="0.35">
      <c r="A44">
        <v>216</v>
      </c>
      <c r="B44" t="s">
        <v>27</v>
      </c>
      <c r="C44">
        <v>2014</v>
      </c>
      <c r="D44" t="s">
        <v>1379</v>
      </c>
    </row>
    <row r="45" spans="1:4" x14ac:dyDescent="0.35">
      <c r="A45">
        <v>217</v>
      </c>
      <c r="B45" t="s">
        <v>1139</v>
      </c>
      <c r="C45">
        <v>2011</v>
      </c>
      <c r="D45" t="s">
        <v>1380</v>
      </c>
    </row>
    <row r="46" spans="1:4" x14ac:dyDescent="0.35">
      <c r="A46">
        <v>218</v>
      </c>
      <c r="B46" t="s">
        <v>264</v>
      </c>
      <c r="C46">
        <v>2007</v>
      </c>
      <c r="D46" t="s">
        <v>1381</v>
      </c>
    </row>
    <row r="47" spans="1:4" x14ac:dyDescent="0.35">
      <c r="A47">
        <v>219</v>
      </c>
      <c r="B47" t="s">
        <v>1137</v>
      </c>
      <c r="C47">
        <v>2008</v>
      </c>
      <c r="D47" t="s">
        <v>1382</v>
      </c>
    </row>
    <row r="48" spans="1:4" x14ac:dyDescent="0.35">
      <c r="A48">
        <v>220</v>
      </c>
      <c r="B48" t="s">
        <v>257</v>
      </c>
      <c r="C48">
        <v>1993</v>
      </c>
      <c r="D48" t="s">
        <v>1383</v>
      </c>
    </row>
    <row r="49" spans="1:4" x14ac:dyDescent="0.35">
      <c r="A49">
        <v>221</v>
      </c>
      <c r="B49" t="s">
        <v>260</v>
      </c>
      <c r="C49">
        <v>2007</v>
      </c>
      <c r="D49" t="s">
        <v>1384</v>
      </c>
    </row>
    <row r="50" spans="1:4" x14ac:dyDescent="0.35">
      <c r="A50">
        <v>222</v>
      </c>
      <c r="B50" t="s">
        <v>156</v>
      </c>
      <c r="C50">
        <v>2008</v>
      </c>
      <c r="D50" t="s">
        <v>1385</v>
      </c>
    </row>
    <row r="51" spans="1:4" x14ac:dyDescent="0.35">
      <c r="A51">
        <v>223</v>
      </c>
      <c r="B51" t="s">
        <v>1125</v>
      </c>
      <c r="C51">
        <v>2000</v>
      </c>
      <c r="D51" t="s">
        <v>1386</v>
      </c>
    </row>
    <row r="52" spans="1:4" x14ac:dyDescent="0.35">
      <c r="A52">
        <v>224</v>
      </c>
      <c r="B52" t="s">
        <v>1128</v>
      </c>
      <c r="C52">
        <v>2011</v>
      </c>
      <c r="D52" t="s">
        <v>1387</v>
      </c>
    </row>
    <row r="53" spans="1:4" x14ac:dyDescent="0.35">
      <c r="A53">
        <v>225</v>
      </c>
      <c r="B53" t="s">
        <v>289</v>
      </c>
      <c r="C53">
        <v>2011</v>
      </c>
      <c r="D53" t="s">
        <v>1388</v>
      </c>
    </row>
    <row r="54" spans="1:4" x14ac:dyDescent="0.35">
      <c r="A54">
        <v>226</v>
      </c>
      <c r="B54" t="s">
        <v>1144</v>
      </c>
      <c r="C54">
        <v>2011</v>
      </c>
      <c r="D54" t="s">
        <v>1389</v>
      </c>
    </row>
    <row r="55" spans="1:4" x14ac:dyDescent="0.35">
      <c r="A55">
        <v>227</v>
      </c>
      <c r="B55" t="s">
        <v>1146</v>
      </c>
      <c r="C55">
        <v>2007</v>
      </c>
      <c r="D55" t="s">
        <v>1390</v>
      </c>
    </row>
    <row r="56" spans="1:4" x14ac:dyDescent="0.35">
      <c r="A56">
        <v>228</v>
      </c>
      <c r="B56" t="s">
        <v>1097</v>
      </c>
      <c r="C56">
        <v>2010</v>
      </c>
      <c r="D56" t="s">
        <v>1391</v>
      </c>
    </row>
    <row r="57" spans="1:4" x14ac:dyDescent="0.35">
      <c r="A57">
        <v>229</v>
      </c>
      <c r="B57" t="s">
        <v>1397</v>
      </c>
      <c r="C57">
        <v>2017</v>
      </c>
      <c r="D57" t="s">
        <v>1395</v>
      </c>
    </row>
    <row r="58" spans="1:4" x14ac:dyDescent="0.35">
      <c r="A58">
        <v>230</v>
      </c>
      <c r="B58" t="s">
        <v>101</v>
      </c>
      <c r="C58">
        <v>2020</v>
      </c>
      <c r="D58" t="s">
        <v>1394</v>
      </c>
    </row>
    <row r="59" spans="1:4" x14ac:dyDescent="0.35">
      <c r="A59">
        <v>232</v>
      </c>
      <c r="B59" t="s">
        <v>128</v>
      </c>
      <c r="C59">
        <v>2010</v>
      </c>
      <c r="D59" t="s">
        <v>497</v>
      </c>
    </row>
    <row r="60" spans="1:4" x14ac:dyDescent="0.35">
      <c r="A60">
        <v>234</v>
      </c>
      <c r="B60" t="s">
        <v>36</v>
      </c>
      <c r="C60">
        <v>2023</v>
      </c>
      <c r="D60" t="s">
        <v>1406</v>
      </c>
    </row>
    <row r="61" spans="1:4" x14ac:dyDescent="0.35">
      <c r="A61">
        <v>235</v>
      </c>
      <c r="B61" t="s">
        <v>37</v>
      </c>
      <c r="C61">
        <v>2024</v>
      </c>
      <c r="D61" t="s">
        <v>1407</v>
      </c>
    </row>
    <row r="62" spans="1:4" x14ac:dyDescent="0.35">
      <c r="A62">
        <v>236</v>
      </c>
      <c r="B62" t="s">
        <v>164</v>
      </c>
      <c r="C62">
        <v>2023</v>
      </c>
      <c r="D62" t="s">
        <v>1408</v>
      </c>
    </row>
    <row r="63" spans="1:4" x14ac:dyDescent="0.35">
      <c r="A63">
        <v>237</v>
      </c>
      <c r="B63" t="s">
        <v>1302</v>
      </c>
      <c r="C63">
        <v>2024</v>
      </c>
      <c r="D63" t="s">
        <v>1409</v>
      </c>
    </row>
    <row r="64" spans="1:4" x14ac:dyDescent="0.35">
      <c r="A64">
        <v>238</v>
      </c>
      <c r="B64" t="s">
        <v>1436</v>
      </c>
      <c r="C64">
        <v>2014</v>
      </c>
      <c r="D64" t="s">
        <v>1179</v>
      </c>
    </row>
    <row r="65" spans="1:4" x14ac:dyDescent="0.35">
      <c r="A65">
        <v>239</v>
      </c>
      <c r="B65" t="s">
        <v>1437</v>
      </c>
      <c r="C65">
        <v>2006</v>
      </c>
      <c r="D65" t="s">
        <v>1438</v>
      </c>
    </row>
    <row r="66" spans="1:4" x14ac:dyDescent="0.35">
      <c r="A66">
        <v>240</v>
      </c>
      <c r="B66" t="s">
        <v>1440</v>
      </c>
      <c r="C66">
        <v>1964</v>
      </c>
      <c r="D66" t="s">
        <v>1441</v>
      </c>
    </row>
    <row r="67" spans="1:4" x14ac:dyDescent="0.35">
      <c r="A67">
        <v>241</v>
      </c>
      <c r="B67" t="s">
        <v>1442</v>
      </c>
      <c r="C67">
        <v>1984</v>
      </c>
      <c r="D67" t="s">
        <v>1443</v>
      </c>
    </row>
    <row r="68" spans="1:4" x14ac:dyDescent="0.35">
      <c r="A68">
        <v>242</v>
      </c>
      <c r="B68" t="s">
        <v>1448</v>
      </c>
      <c r="C68">
        <v>1981</v>
      </c>
      <c r="D68" t="s">
        <v>1449</v>
      </c>
    </row>
    <row r="69" spans="1:4" x14ac:dyDescent="0.35">
      <c r="A69">
        <v>243</v>
      </c>
      <c r="B69" t="s">
        <v>1451</v>
      </c>
      <c r="C69">
        <v>1972</v>
      </c>
      <c r="D69" t="s">
        <v>1450</v>
      </c>
    </row>
    <row r="70" spans="1:4" x14ac:dyDescent="0.35">
      <c r="A70">
        <v>244</v>
      </c>
      <c r="B70" t="s">
        <v>212</v>
      </c>
      <c r="C70">
        <v>2002</v>
      </c>
      <c r="D70" t="s">
        <v>1455</v>
      </c>
    </row>
    <row r="71" spans="1:4" x14ac:dyDescent="0.35">
      <c r="A71">
        <v>245</v>
      </c>
      <c r="B71" t="s">
        <v>210</v>
      </c>
      <c r="C71">
        <v>1989</v>
      </c>
      <c r="D71" t="s">
        <v>1454</v>
      </c>
    </row>
    <row r="72" spans="1:4" x14ac:dyDescent="0.35">
      <c r="A72">
        <v>246</v>
      </c>
      <c r="B72" t="s">
        <v>1461</v>
      </c>
      <c r="C72">
        <v>2022</v>
      </c>
      <c r="D72" t="s">
        <v>1460</v>
      </c>
    </row>
    <row r="73" spans="1:4" x14ac:dyDescent="0.35">
      <c r="A73">
        <v>248</v>
      </c>
      <c r="B73" t="s">
        <v>132</v>
      </c>
      <c r="C73">
        <v>2011</v>
      </c>
      <c r="D73" t="s">
        <v>1469</v>
      </c>
    </row>
    <row r="74" spans="1:4" x14ac:dyDescent="0.35">
      <c r="A74">
        <v>249</v>
      </c>
      <c r="B74" t="s">
        <v>1158</v>
      </c>
      <c r="C74">
        <v>2007</v>
      </c>
      <c r="D74" t="s">
        <v>1470</v>
      </c>
    </row>
    <row r="75" spans="1:4" x14ac:dyDescent="0.35">
      <c r="A75">
        <v>251</v>
      </c>
      <c r="B75" t="s">
        <v>1481</v>
      </c>
      <c r="C75">
        <v>2025</v>
      </c>
      <c r="D75" t="s">
        <v>1482</v>
      </c>
    </row>
    <row r="76" spans="1:4" x14ac:dyDescent="0.35">
      <c r="A76">
        <v>252</v>
      </c>
      <c r="B76" t="s">
        <v>1489</v>
      </c>
      <c r="C76">
        <v>2025</v>
      </c>
      <c r="D76" t="s">
        <v>1488</v>
      </c>
    </row>
    <row r="77" spans="1:4" x14ac:dyDescent="0.35">
      <c r="A77">
        <v>253</v>
      </c>
      <c r="B77" t="s">
        <v>1495</v>
      </c>
      <c r="C77">
        <v>2011</v>
      </c>
      <c r="D77" t="s">
        <v>1496</v>
      </c>
    </row>
    <row r="78" spans="1:4" x14ac:dyDescent="0.35">
      <c r="A78">
        <v>255</v>
      </c>
      <c r="B78" t="s">
        <v>1514</v>
      </c>
      <c r="C78">
        <v>2007</v>
      </c>
      <c r="D78" t="s">
        <v>1515</v>
      </c>
    </row>
    <row r="79" spans="1:4" x14ac:dyDescent="0.35">
      <c r="A79">
        <v>256</v>
      </c>
      <c r="B79" t="s">
        <v>330</v>
      </c>
      <c r="C79">
        <v>2015</v>
      </c>
      <c r="D79" t="s">
        <v>1518</v>
      </c>
    </row>
    <row r="80" spans="1:4" x14ac:dyDescent="0.35">
      <c r="A80">
        <v>258</v>
      </c>
      <c r="B80" t="s">
        <v>1529</v>
      </c>
      <c r="C80">
        <v>2025</v>
      </c>
      <c r="D80" t="s">
        <v>1530</v>
      </c>
    </row>
    <row r="81" spans="1:4" x14ac:dyDescent="0.35">
      <c r="A81">
        <v>259</v>
      </c>
      <c r="B81" t="s">
        <v>1531</v>
      </c>
      <c r="C81">
        <v>2025</v>
      </c>
      <c r="D81" t="s">
        <v>1532</v>
      </c>
    </row>
    <row r="82" spans="1:4" x14ac:dyDescent="0.35">
      <c r="A82">
        <v>261</v>
      </c>
      <c r="B82" t="s">
        <v>1204</v>
      </c>
      <c r="C82">
        <v>1981</v>
      </c>
      <c r="D82" t="s">
        <v>1534</v>
      </c>
    </row>
    <row r="83" spans="1:4" x14ac:dyDescent="0.35">
      <c r="A83">
        <v>264</v>
      </c>
      <c r="B83" t="s">
        <v>1544</v>
      </c>
      <c r="C83">
        <v>2026</v>
      </c>
      <c r="D83" t="s">
        <v>1559</v>
      </c>
    </row>
    <row r="84" spans="1:4" x14ac:dyDescent="0.35">
      <c r="A84">
        <v>265</v>
      </c>
      <c r="B84" t="s">
        <v>1547</v>
      </c>
      <c r="C84">
        <v>2017</v>
      </c>
      <c r="D84" t="s">
        <v>1560</v>
      </c>
    </row>
    <row r="85" spans="1:4" x14ac:dyDescent="0.35">
      <c r="A85">
        <v>267</v>
      </c>
      <c r="B85" t="s">
        <v>1549</v>
      </c>
      <c r="C85">
        <v>2026</v>
      </c>
      <c r="D85" t="s">
        <v>1561</v>
      </c>
    </row>
    <row r="86" spans="1:4" x14ac:dyDescent="0.35">
      <c r="A86">
        <v>268</v>
      </c>
      <c r="B86" t="s">
        <v>1431</v>
      </c>
      <c r="C86">
        <v>2026</v>
      </c>
      <c r="D86" t="s">
        <v>1563</v>
      </c>
    </row>
    <row r="87" spans="1:4" x14ac:dyDescent="0.35">
      <c r="A87">
        <v>269</v>
      </c>
      <c r="B87" t="s">
        <v>1564</v>
      </c>
      <c r="C87">
        <v>2026</v>
      </c>
      <c r="D87" t="s">
        <v>1565</v>
      </c>
    </row>
    <row r="88" spans="1:4" x14ac:dyDescent="0.35">
      <c r="A88">
        <v>270</v>
      </c>
      <c r="B88" t="s">
        <v>1569</v>
      </c>
      <c r="C88">
        <v>2021</v>
      </c>
      <c r="D88" t="s">
        <v>1570</v>
      </c>
    </row>
    <row r="89" spans="1:4" x14ac:dyDescent="0.35">
      <c r="A89">
        <v>271</v>
      </c>
      <c r="B89" t="s">
        <v>218</v>
      </c>
      <c r="C89">
        <v>2008</v>
      </c>
      <c r="D89" t="s">
        <v>1584</v>
      </c>
    </row>
    <row r="90" spans="1:4" x14ac:dyDescent="0.35">
      <c r="A90">
        <v>272</v>
      </c>
      <c r="B90" t="s">
        <v>429</v>
      </c>
      <c r="C90">
        <v>2024</v>
      </c>
      <c r="D90" t="s">
        <v>1587</v>
      </c>
    </row>
    <row r="91" spans="1:4" x14ac:dyDescent="0.35">
      <c r="A91">
        <v>274</v>
      </c>
      <c r="B91" t="s">
        <v>1098</v>
      </c>
      <c r="C91">
        <v>2018</v>
      </c>
      <c r="D91" t="s">
        <v>1589</v>
      </c>
    </row>
    <row r="92" spans="1:4" x14ac:dyDescent="0.35">
      <c r="A92">
        <v>275</v>
      </c>
      <c r="B92" t="s">
        <v>1099</v>
      </c>
      <c r="C92">
        <v>2021</v>
      </c>
      <c r="D92" t="s">
        <v>1590</v>
      </c>
    </row>
    <row r="93" spans="1:4" x14ac:dyDescent="0.35">
      <c r="A93">
        <v>276</v>
      </c>
      <c r="B93" t="s">
        <v>310</v>
      </c>
      <c r="C93">
        <v>2019</v>
      </c>
      <c r="D93" t="s">
        <v>1591</v>
      </c>
    </row>
    <row r="94" spans="1:4" x14ac:dyDescent="0.35">
      <c r="A94">
        <v>277</v>
      </c>
      <c r="B94" t="s">
        <v>163</v>
      </c>
      <c r="C94">
        <v>2017</v>
      </c>
      <c r="D94" t="s">
        <v>1592</v>
      </c>
    </row>
    <row r="95" spans="1:4" x14ac:dyDescent="0.35">
      <c r="A95">
        <v>278</v>
      </c>
      <c r="B95" t="s">
        <v>279</v>
      </c>
      <c r="C95">
        <v>1998</v>
      </c>
      <c r="D95" t="s">
        <v>1593</v>
      </c>
    </row>
    <row r="96" spans="1:4" x14ac:dyDescent="0.35">
      <c r="A96">
        <v>279</v>
      </c>
      <c r="B96" t="s">
        <v>161</v>
      </c>
      <c r="C96">
        <v>1979</v>
      </c>
      <c r="D96" t="s">
        <v>1594</v>
      </c>
    </row>
    <row r="97" spans="1:4" x14ac:dyDescent="0.35">
      <c r="A97">
        <v>280</v>
      </c>
      <c r="B97" t="s">
        <v>1135</v>
      </c>
      <c r="C97">
        <v>2005</v>
      </c>
      <c r="D97" t="s">
        <v>1595</v>
      </c>
    </row>
    <row r="98" spans="1:4" x14ac:dyDescent="0.35">
      <c r="A98">
        <v>281</v>
      </c>
      <c r="B98" t="s">
        <v>1102</v>
      </c>
      <c r="C98">
        <v>1986</v>
      </c>
      <c r="D98" t="s">
        <v>1596</v>
      </c>
    </row>
    <row r="99" spans="1:4" x14ac:dyDescent="0.35">
      <c r="A99">
        <v>282</v>
      </c>
      <c r="B99" t="s">
        <v>1103</v>
      </c>
      <c r="C99">
        <v>1986</v>
      </c>
      <c r="D99" t="s">
        <v>1597</v>
      </c>
    </row>
    <row r="100" spans="1:4" x14ac:dyDescent="0.35">
      <c r="A100">
        <v>283</v>
      </c>
      <c r="B100" t="s">
        <v>75</v>
      </c>
      <c r="C100">
        <v>2000</v>
      </c>
      <c r="D100" t="s">
        <v>472</v>
      </c>
    </row>
    <row r="101" spans="1:4" x14ac:dyDescent="0.35">
      <c r="A101">
        <v>284</v>
      </c>
      <c r="B101" t="s">
        <v>1117</v>
      </c>
      <c r="C101">
        <v>2011</v>
      </c>
      <c r="D101" t="s">
        <v>1598</v>
      </c>
    </row>
    <row r="102" spans="1:4" x14ac:dyDescent="0.35">
      <c r="A102">
        <v>285</v>
      </c>
      <c r="B102" t="s">
        <v>1159</v>
      </c>
      <c r="C102">
        <v>2012</v>
      </c>
      <c r="D102" t="s">
        <v>1599</v>
      </c>
    </row>
    <row r="103" spans="1:4" x14ac:dyDescent="0.35">
      <c r="A103">
        <v>286</v>
      </c>
      <c r="B103" t="s">
        <v>1127</v>
      </c>
      <c r="C103">
        <v>2007</v>
      </c>
      <c r="D103" t="s">
        <v>1600</v>
      </c>
    </row>
    <row r="104" spans="1:4" x14ac:dyDescent="0.35">
      <c r="A104">
        <v>287</v>
      </c>
      <c r="B104" t="s">
        <v>22</v>
      </c>
      <c r="C104">
        <v>2009</v>
      </c>
      <c r="D104" t="s">
        <v>1601</v>
      </c>
    </row>
    <row r="105" spans="1:4" x14ac:dyDescent="0.35">
      <c r="A105">
        <v>288</v>
      </c>
      <c r="B105" t="s">
        <v>245</v>
      </c>
      <c r="C105">
        <v>2013</v>
      </c>
      <c r="D105" t="s">
        <v>1602</v>
      </c>
    </row>
    <row r="106" spans="1:4" x14ac:dyDescent="0.35">
      <c r="A106">
        <v>289</v>
      </c>
      <c r="B106" t="s">
        <v>155</v>
      </c>
      <c r="C106">
        <v>2004</v>
      </c>
      <c r="D106" t="s">
        <v>1603</v>
      </c>
    </row>
    <row r="107" spans="1:4" x14ac:dyDescent="0.35">
      <c r="A107">
        <v>290</v>
      </c>
      <c r="B107" t="s">
        <v>1094</v>
      </c>
      <c r="C107">
        <v>1987</v>
      </c>
      <c r="D107" t="s">
        <v>1604</v>
      </c>
    </row>
    <row r="108" spans="1:4" x14ac:dyDescent="0.35">
      <c r="A108">
        <v>291</v>
      </c>
      <c r="B108" t="s">
        <v>120</v>
      </c>
      <c r="C108">
        <v>2011</v>
      </c>
      <c r="D108" t="s">
        <v>1605</v>
      </c>
    </row>
    <row r="109" spans="1:4" x14ac:dyDescent="0.35">
      <c r="A109">
        <v>292</v>
      </c>
      <c r="B109" t="s">
        <v>1104</v>
      </c>
      <c r="C109">
        <v>1992</v>
      </c>
      <c r="D109" t="s">
        <v>1606</v>
      </c>
    </row>
    <row r="110" spans="1:4" x14ac:dyDescent="0.35">
      <c r="A110">
        <v>293</v>
      </c>
      <c r="B110" t="s">
        <v>76</v>
      </c>
      <c r="C110">
        <v>2008</v>
      </c>
      <c r="D110" t="s">
        <v>1607</v>
      </c>
    </row>
    <row r="111" spans="1:4" x14ac:dyDescent="0.35">
      <c r="A111">
        <v>294</v>
      </c>
      <c r="B111" t="s">
        <v>1155</v>
      </c>
      <c r="C111">
        <v>1961</v>
      </c>
      <c r="D111" t="s">
        <v>1608</v>
      </c>
    </row>
    <row r="112" spans="1:4" x14ac:dyDescent="0.35">
      <c r="A112">
        <v>295</v>
      </c>
      <c r="B112" t="s">
        <v>323</v>
      </c>
      <c r="C112">
        <v>2021</v>
      </c>
      <c r="D112" t="s">
        <v>1609</v>
      </c>
    </row>
    <row r="113" spans="1:4" x14ac:dyDescent="0.35">
      <c r="A113">
        <v>296</v>
      </c>
      <c r="B113" t="s">
        <v>1105</v>
      </c>
      <c r="C113">
        <v>2007</v>
      </c>
      <c r="D113" t="s">
        <v>1610</v>
      </c>
    </row>
    <row r="114" spans="1:4" x14ac:dyDescent="0.35">
      <c r="A114">
        <v>297</v>
      </c>
      <c r="B114" t="s">
        <v>1116</v>
      </c>
      <c r="C114">
        <v>1989</v>
      </c>
      <c r="D114" t="s">
        <v>1611</v>
      </c>
    </row>
    <row r="115" spans="1:4" x14ac:dyDescent="0.35">
      <c r="A115">
        <v>298</v>
      </c>
      <c r="B115" t="s">
        <v>1148</v>
      </c>
      <c r="C115">
        <v>2011</v>
      </c>
      <c r="D115" t="s">
        <v>1612</v>
      </c>
    </row>
    <row r="116" spans="1:4" x14ac:dyDescent="0.35">
      <c r="A116">
        <v>299</v>
      </c>
      <c r="B116" t="s">
        <v>303</v>
      </c>
      <c r="C116">
        <v>2000</v>
      </c>
      <c r="D116" t="s">
        <v>1613</v>
      </c>
    </row>
    <row r="117" spans="1:4" x14ac:dyDescent="0.35">
      <c r="A117">
        <v>300</v>
      </c>
      <c r="B117" t="s">
        <v>50</v>
      </c>
      <c r="C117">
        <v>2004</v>
      </c>
      <c r="D117" t="s">
        <v>1614</v>
      </c>
    </row>
    <row r="118" spans="1:4" x14ac:dyDescent="0.35">
      <c r="A118">
        <v>301</v>
      </c>
      <c r="B118" t="s">
        <v>44</v>
      </c>
      <c r="C118">
        <v>1998</v>
      </c>
      <c r="D118" t="s">
        <v>1615</v>
      </c>
    </row>
    <row r="119" spans="1:4" x14ac:dyDescent="0.35">
      <c r="A119">
        <v>302</v>
      </c>
      <c r="B119" t="s">
        <v>45</v>
      </c>
      <c r="C119">
        <v>2011</v>
      </c>
      <c r="D119" t="s">
        <v>1616</v>
      </c>
    </row>
    <row r="120" spans="1:4" x14ac:dyDescent="0.35">
      <c r="A120">
        <v>303</v>
      </c>
      <c r="B120" t="s">
        <v>1093</v>
      </c>
      <c r="C120">
        <v>1986</v>
      </c>
      <c r="D120" t="s">
        <v>1617</v>
      </c>
    </row>
    <row r="121" spans="1:4" x14ac:dyDescent="0.35">
      <c r="A121">
        <v>304</v>
      </c>
      <c r="B121" t="s">
        <v>124</v>
      </c>
      <c r="C121">
        <v>2000</v>
      </c>
      <c r="D121" t="s">
        <v>1618</v>
      </c>
    </row>
    <row r="122" spans="1:4" x14ac:dyDescent="0.35">
      <c r="A122">
        <v>305</v>
      </c>
      <c r="B122" t="s">
        <v>1165</v>
      </c>
      <c r="C122">
        <v>2014</v>
      </c>
      <c r="D122" t="s">
        <v>1620</v>
      </c>
    </row>
    <row r="123" spans="1:4" x14ac:dyDescent="0.35">
      <c r="A123">
        <v>306</v>
      </c>
      <c r="B123" t="s">
        <v>371</v>
      </c>
      <c r="C123">
        <v>2015</v>
      </c>
      <c r="D123" t="s">
        <v>1619</v>
      </c>
    </row>
    <row r="124" spans="1:4" x14ac:dyDescent="0.35">
      <c r="A124">
        <v>307</v>
      </c>
      <c r="B124" t="s">
        <v>395</v>
      </c>
      <c r="C124">
        <v>2003</v>
      </c>
      <c r="D124" t="s">
        <v>1621</v>
      </c>
    </row>
    <row r="125" spans="1:4" x14ac:dyDescent="0.35">
      <c r="A125">
        <v>308</v>
      </c>
      <c r="B125" t="s">
        <v>1197</v>
      </c>
      <c r="C125">
        <v>2011</v>
      </c>
      <c r="D125" t="s">
        <v>1622</v>
      </c>
    </row>
    <row r="126" spans="1:4" x14ac:dyDescent="0.35">
      <c r="A126">
        <v>309</v>
      </c>
      <c r="B126" t="s">
        <v>1269</v>
      </c>
      <c r="C126">
        <v>1981</v>
      </c>
      <c r="D126" t="s">
        <v>1623</v>
      </c>
    </row>
    <row r="127" spans="1:4" x14ac:dyDescent="0.35">
      <c r="A127">
        <v>310</v>
      </c>
      <c r="B127" t="s">
        <v>1205</v>
      </c>
      <c r="C127">
        <v>2017</v>
      </c>
      <c r="D127" t="s">
        <v>1558</v>
      </c>
    </row>
    <row r="128" spans="1:4" x14ac:dyDescent="0.35">
      <c r="A128">
        <v>311</v>
      </c>
      <c r="B128" t="s">
        <v>270</v>
      </c>
      <c r="C128">
        <v>1988</v>
      </c>
      <c r="D128" t="s">
        <v>1624</v>
      </c>
    </row>
    <row r="129" spans="1:4" x14ac:dyDescent="0.35">
      <c r="A129">
        <v>312</v>
      </c>
      <c r="B129" t="s">
        <v>130</v>
      </c>
      <c r="C129">
        <v>2005</v>
      </c>
      <c r="D129" t="s">
        <v>1625</v>
      </c>
    </row>
    <row r="130" spans="1:4" x14ac:dyDescent="0.35">
      <c r="A130">
        <v>313</v>
      </c>
      <c r="B130" t="s">
        <v>345</v>
      </c>
      <c r="C130">
        <v>2023</v>
      </c>
      <c r="D130" t="s">
        <v>1626</v>
      </c>
    </row>
    <row r="131" spans="1:4" x14ac:dyDescent="0.35">
      <c r="A131">
        <v>314</v>
      </c>
      <c r="B131" t="s">
        <v>1241</v>
      </c>
      <c r="C131">
        <v>2006</v>
      </c>
      <c r="D131" t="s">
        <v>1627</v>
      </c>
    </row>
    <row r="132" spans="1:4" x14ac:dyDescent="0.35">
      <c r="A132">
        <v>315</v>
      </c>
      <c r="B132" t="s">
        <v>1126</v>
      </c>
      <c r="C132">
        <v>2006</v>
      </c>
      <c r="D132" t="s">
        <v>1628</v>
      </c>
    </row>
    <row r="133" spans="1:4" x14ac:dyDescent="0.35">
      <c r="A133">
        <v>316</v>
      </c>
      <c r="B133" t="s">
        <v>1149</v>
      </c>
      <c r="C133">
        <v>2013</v>
      </c>
      <c r="D133" t="s">
        <v>1629</v>
      </c>
    </row>
    <row r="134" spans="1:4" x14ac:dyDescent="0.35">
      <c r="A134">
        <v>318</v>
      </c>
      <c r="B134" t="s">
        <v>349</v>
      </c>
      <c r="C134">
        <v>2015</v>
      </c>
      <c r="D134" t="s">
        <v>1630</v>
      </c>
    </row>
    <row r="135" spans="1:4" x14ac:dyDescent="0.35">
      <c r="A135">
        <v>319</v>
      </c>
      <c r="B135" t="s">
        <v>350</v>
      </c>
      <c r="C135">
        <v>2015</v>
      </c>
      <c r="D135" t="s">
        <v>1631</v>
      </c>
    </row>
    <row r="136" spans="1:4" x14ac:dyDescent="0.35">
      <c r="A136">
        <v>320</v>
      </c>
      <c r="B136" t="s">
        <v>1240</v>
      </c>
      <c r="C136">
        <v>2015</v>
      </c>
      <c r="D136" t="s">
        <v>1632</v>
      </c>
    </row>
    <row r="137" spans="1:4" x14ac:dyDescent="0.35">
      <c r="A137">
        <v>321</v>
      </c>
      <c r="B137" t="s">
        <v>1170</v>
      </c>
      <c r="C137">
        <v>2011</v>
      </c>
      <c r="D137" t="s">
        <v>1633</v>
      </c>
    </row>
    <row r="138" spans="1:4" x14ac:dyDescent="0.35">
      <c r="A138">
        <v>322</v>
      </c>
      <c r="B138" t="s">
        <v>108</v>
      </c>
      <c r="C138">
        <v>2019</v>
      </c>
      <c r="D138" t="s">
        <v>1634</v>
      </c>
    </row>
    <row r="139" spans="1:4" x14ac:dyDescent="0.35">
      <c r="A139">
        <v>323</v>
      </c>
      <c r="B139" t="s">
        <v>1136</v>
      </c>
      <c r="C139">
        <v>2006</v>
      </c>
      <c r="D139" t="s">
        <v>1635</v>
      </c>
    </row>
    <row r="140" spans="1:4" x14ac:dyDescent="0.35">
      <c r="A140">
        <v>324</v>
      </c>
      <c r="B140" t="s">
        <v>119</v>
      </c>
      <c r="C140">
        <v>1994</v>
      </c>
      <c r="D140" t="s">
        <v>1636</v>
      </c>
    </row>
    <row r="141" spans="1:4" x14ac:dyDescent="0.35">
      <c r="A141">
        <v>325</v>
      </c>
      <c r="B141" t="s">
        <v>1305</v>
      </c>
      <c r="C141">
        <v>2024</v>
      </c>
      <c r="D141" t="s">
        <v>1637</v>
      </c>
    </row>
    <row r="142" spans="1:4" x14ac:dyDescent="0.35">
      <c r="A142">
        <v>326</v>
      </c>
      <c r="B142" t="s">
        <v>1138</v>
      </c>
      <c r="C142">
        <v>2009</v>
      </c>
      <c r="D142" t="s">
        <v>1638</v>
      </c>
    </row>
    <row r="143" spans="1:4" x14ac:dyDescent="0.35">
      <c r="A143">
        <v>327</v>
      </c>
      <c r="B143" t="s">
        <v>274</v>
      </c>
      <c r="C143">
        <v>2018</v>
      </c>
      <c r="D143" t="s">
        <v>1639</v>
      </c>
    </row>
    <row r="144" spans="1:4" x14ac:dyDescent="0.35">
      <c r="A144">
        <v>328</v>
      </c>
      <c r="B144" t="s">
        <v>252</v>
      </c>
      <c r="C144">
        <v>2010</v>
      </c>
      <c r="D144" t="s">
        <v>1640</v>
      </c>
    </row>
    <row r="145" spans="1:4" x14ac:dyDescent="0.35">
      <c r="A145">
        <v>329</v>
      </c>
      <c r="B145" t="s">
        <v>1134</v>
      </c>
      <c r="C145">
        <v>1996</v>
      </c>
      <c r="D145" t="s">
        <v>1641</v>
      </c>
    </row>
    <row r="146" spans="1:4" x14ac:dyDescent="0.35">
      <c r="A146">
        <v>330</v>
      </c>
      <c r="B146" t="s">
        <v>1154</v>
      </c>
      <c r="C146">
        <v>1914</v>
      </c>
      <c r="D146" t="s">
        <v>1642</v>
      </c>
    </row>
    <row r="147" spans="1:4" x14ac:dyDescent="0.35">
      <c r="A147">
        <v>331</v>
      </c>
      <c r="B147" t="s">
        <v>1645</v>
      </c>
      <c r="C147">
        <v>2007</v>
      </c>
      <c r="D147" t="s">
        <v>1644</v>
      </c>
    </row>
    <row r="148" spans="1:4" x14ac:dyDescent="0.35">
      <c r="A148">
        <v>332</v>
      </c>
      <c r="B148" t="s">
        <v>1646</v>
      </c>
      <c r="C148">
        <v>2007</v>
      </c>
      <c r="D148" t="s">
        <v>1643</v>
      </c>
    </row>
    <row r="149" spans="1:4" x14ac:dyDescent="0.35">
      <c r="A149">
        <v>333</v>
      </c>
      <c r="B149" t="s">
        <v>1157</v>
      </c>
      <c r="C149">
        <v>1990</v>
      </c>
      <c r="D149" t="s">
        <v>1647</v>
      </c>
    </row>
    <row r="150" spans="1:4" x14ac:dyDescent="0.35">
      <c r="A150">
        <v>334</v>
      </c>
      <c r="B150" t="s">
        <v>127</v>
      </c>
      <c r="C150">
        <v>2009</v>
      </c>
      <c r="D150" t="s">
        <v>1648</v>
      </c>
    </row>
    <row r="151" spans="1:4" x14ac:dyDescent="0.35">
      <c r="A151">
        <v>335</v>
      </c>
      <c r="B151" t="s">
        <v>313</v>
      </c>
      <c r="C151">
        <v>2015</v>
      </c>
      <c r="D151" t="s">
        <v>1649</v>
      </c>
    </row>
    <row r="152" spans="1:4" x14ac:dyDescent="0.35">
      <c r="A152">
        <v>336</v>
      </c>
      <c r="B152" t="s">
        <v>1156</v>
      </c>
      <c r="C152">
        <v>1968</v>
      </c>
      <c r="D152" t="s">
        <v>1650</v>
      </c>
    </row>
    <row r="153" spans="1:4" x14ac:dyDescent="0.35">
      <c r="A153">
        <v>337</v>
      </c>
      <c r="B153" t="s">
        <v>278</v>
      </c>
      <c r="C153">
        <v>1996</v>
      </c>
      <c r="D153" t="s">
        <v>1651</v>
      </c>
    </row>
    <row r="154" spans="1:4" x14ac:dyDescent="0.35">
      <c r="A154">
        <v>338</v>
      </c>
      <c r="B154" t="s">
        <v>1096</v>
      </c>
      <c r="C154">
        <v>1996</v>
      </c>
      <c r="D154" t="s">
        <v>1652</v>
      </c>
    </row>
    <row r="155" spans="1:4" x14ac:dyDescent="0.35">
      <c r="A155">
        <v>339</v>
      </c>
      <c r="B155" t="s">
        <v>1163</v>
      </c>
      <c r="C155">
        <v>1983</v>
      </c>
      <c r="D155" t="s">
        <v>1653</v>
      </c>
    </row>
    <row r="156" spans="1:4" x14ac:dyDescent="0.35">
      <c r="A156">
        <v>340</v>
      </c>
      <c r="B156" t="s">
        <v>1259</v>
      </c>
      <c r="C156">
        <v>2021</v>
      </c>
      <c r="D156" t="s">
        <v>1654</v>
      </c>
    </row>
    <row r="157" spans="1:4" x14ac:dyDescent="0.35">
      <c r="A157">
        <v>341</v>
      </c>
      <c r="B157" t="s">
        <v>1092</v>
      </c>
      <c r="C157">
        <v>1983</v>
      </c>
      <c r="D157" t="s">
        <v>1655</v>
      </c>
    </row>
    <row r="158" spans="1:4" x14ac:dyDescent="0.35">
      <c r="A158">
        <v>342</v>
      </c>
      <c r="B158" t="s">
        <v>1114</v>
      </c>
      <c r="C158">
        <v>1985</v>
      </c>
      <c r="D158" t="s">
        <v>1656</v>
      </c>
    </row>
    <row r="159" spans="1:4" x14ac:dyDescent="0.35">
      <c r="A159">
        <v>343</v>
      </c>
      <c r="B159" t="s">
        <v>1252</v>
      </c>
      <c r="C159">
        <v>2004</v>
      </c>
      <c r="D159" t="s">
        <v>1657</v>
      </c>
    </row>
    <row r="160" spans="1:4" x14ac:dyDescent="0.35">
      <c r="A160">
        <v>344</v>
      </c>
      <c r="B160" t="s">
        <v>169</v>
      </c>
      <c r="C160">
        <v>2009</v>
      </c>
      <c r="D160" t="s">
        <v>1658</v>
      </c>
    </row>
    <row r="161" spans="1:4" x14ac:dyDescent="0.35">
      <c r="A161">
        <v>345</v>
      </c>
      <c r="B161" t="s">
        <v>1253</v>
      </c>
      <c r="C161">
        <v>2005</v>
      </c>
      <c r="D161" t="s">
        <v>1659</v>
      </c>
    </row>
    <row r="162" spans="1:4" x14ac:dyDescent="0.35">
      <c r="A162">
        <v>346</v>
      </c>
      <c r="B162" t="s">
        <v>227</v>
      </c>
      <c r="C162">
        <v>2020</v>
      </c>
      <c r="D162" t="s">
        <v>1660</v>
      </c>
    </row>
    <row r="163" spans="1:4" x14ac:dyDescent="0.35">
      <c r="A163">
        <v>347</v>
      </c>
      <c r="B163" t="s">
        <v>1095</v>
      </c>
      <c r="C163">
        <v>1995</v>
      </c>
      <c r="D163" t="s">
        <v>1661</v>
      </c>
    </row>
    <row r="164" spans="1:4" x14ac:dyDescent="0.35">
      <c r="A164">
        <v>348</v>
      </c>
      <c r="B164" t="s">
        <v>1473</v>
      </c>
      <c r="C164">
        <v>2025</v>
      </c>
      <c r="D164" t="s">
        <v>1474</v>
      </c>
    </row>
    <row r="165" spans="1:4" x14ac:dyDescent="0.35">
      <c r="A165">
        <v>349</v>
      </c>
      <c r="B165" t="s">
        <v>1173</v>
      </c>
      <c r="C165">
        <v>1984</v>
      </c>
      <c r="D165" t="s">
        <v>1662</v>
      </c>
    </row>
    <row r="166" spans="1:4" x14ac:dyDescent="0.35">
      <c r="A166">
        <v>350</v>
      </c>
      <c r="B166" t="s">
        <v>1164</v>
      </c>
      <c r="C166">
        <v>2011</v>
      </c>
      <c r="D166" t="s">
        <v>1663</v>
      </c>
    </row>
    <row r="167" spans="1:4" x14ac:dyDescent="0.35">
      <c r="A167">
        <v>351</v>
      </c>
      <c r="B167" t="s">
        <v>1666</v>
      </c>
      <c r="C167">
        <v>2001</v>
      </c>
      <c r="D167" t="s">
        <v>1667</v>
      </c>
    </row>
  </sheetData>
  <autoFilter ref="A1:D122" xr:uid="{A745F343-A142-424F-B319-CF12FAEC0814}">
    <sortState xmlns:xlrd2="http://schemas.microsoft.com/office/spreadsheetml/2017/richdata2" ref="A2:D166">
      <sortCondition ref="A1:A122"/>
    </sortState>
  </autoFilter>
  <phoneticPr fontId="2" type="noConversion"/>
  <conditionalFormatting sqref="B156:B161">
    <cfRule type="endsWith" dxfId="9" priority="9" operator="endsWith" text="NA">
      <formula>RIGHT(B156,LEN("NA"))="NA"</formula>
    </cfRule>
    <cfRule type="containsBlanks" dxfId="8" priority="10">
      <formula>LEN(TRIM(B156))=0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DAF6F-187D-4539-BB4B-486AB5925EFB}">
  <dimension ref="A1:AB60"/>
  <sheetViews>
    <sheetView zoomScale="70" zoomScaleNormal="70" workbookViewId="0">
      <pane xSplit="3" ySplit="1" topLeftCell="G2" activePane="bottomRight" state="frozen"/>
      <selection pane="topRight" activeCell="D1" sqref="D1"/>
      <selection pane="bottomLeft" activeCell="A2" sqref="A2"/>
      <selection pane="bottomRight" sqref="A1:XFD1048576"/>
    </sheetView>
  </sheetViews>
  <sheetFormatPr defaultRowHeight="14.5" x14ac:dyDescent="0.35"/>
  <cols>
    <col min="1" max="1" width="17" style="14" bestFit="1" customWidth="1"/>
    <col min="2" max="2" width="17" style="14" customWidth="1"/>
    <col min="3" max="3" width="30.08984375" style="14" bestFit="1" customWidth="1"/>
    <col min="4" max="4" width="30.08984375" style="14" customWidth="1"/>
    <col min="5" max="5" width="12.08984375" style="14" bestFit="1" customWidth="1"/>
    <col min="6" max="12" width="22.54296875" style="14" customWidth="1"/>
    <col min="13" max="13" width="23.54296875" style="14" customWidth="1"/>
    <col min="14" max="14" width="17.7265625" style="14" bestFit="1" customWidth="1"/>
    <col min="15" max="15" width="19.1796875" style="14" bestFit="1" customWidth="1"/>
    <col min="16" max="16" width="15.54296875" style="14" bestFit="1" customWidth="1"/>
    <col min="17" max="17" width="22.08984375" style="14" bestFit="1" customWidth="1"/>
    <col min="18" max="18" width="13.36328125" style="14" bestFit="1" customWidth="1"/>
    <col min="19" max="19" width="17.81640625" style="14" bestFit="1" customWidth="1"/>
    <col min="20" max="20" width="8.7265625" style="14"/>
    <col min="21" max="21" width="31.6328125" style="14" bestFit="1" customWidth="1"/>
    <col min="22" max="22" width="26.1796875" style="14" bestFit="1" customWidth="1"/>
    <col min="23" max="23" width="22.453125" style="14" bestFit="1" customWidth="1"/>
    <col min="24" max="24" width="24.81640625" style="14" bestFit="1" customWidth="1"/>
    <col min="25" max="25" width="25.90625" style="14" bestFit="1" customWidth="1"/>
    <col min="26" max="26" width="20.453125" style="14" bestFit="1" customWidth="1"/>
    <col min="27" max="28" width="22.90625" style="14" bestFit="1" customWidth="1"/>
    <col min="29" max="16384" width="8.7265625" style="14"/>
  </cols>
  <sheetData>
    <row r="1" spans="1:28" s="1" customFormat="1" x14ac:dyDescent="0.35">
      <c r="A1" s="1" t="s">
        <v>928</v>
      </c>
      <c r="B1" s="16" t="s">
        <v>929</v>
      </c>
      <c r="C1" s="7" t="s">
        <v>927</v>
      </c>
      <c r="D1" s="7" t="s">
        <v>946</v>
      </c>
      <c r="E1" s="7" t="s">
        <v>930</v>
      </c>
      <c r="F1" s="7" t="s">
        <v>926</v>
      </c>
      <c r="G1" s="7" t="s">
        <v>1501</v>
      </c>
      <c r="H1" s="7" t="s">
        <v>1502</v>
      </c>
      <c r="I1" s="1" t="s">
        <v>1176</v>
      </c>
      <c r="J1" s="1" t="s">
        <v>1177</v>
      </c>
      <c r="K1" s="1" t="s">
        <v>1503</v>
      </c>
      <c r="L1" s="1" t="s">
        <v>1504</v>
      </c>
      <c r="M1" s="7" t="s">
        <v>925</v>
      </c>
      <c r="N1" s="2" t="s">
        <v>996</v>
      </c>
      <c r="O1" s="2" t="s">
        <v>997</v>
      </c>
      <c r="P1" s="2" t="s">
        <v>998</v>
      </c>
      <c r="Q1" s="2" t="s">
        <v>999</v>
      </c>
      <c r="R1" s="2" t="s">
        <v>1000</v>
      </c>
      <c r="S1" s="2" t="s">
        <v>1001</v>
      </c>
      <c r="T1" s="2" t="s">
        <v>943</v>
      </c>
      <c r="U1" s="2" t="s">
        <v>939</v>
      </c>
      <c r="V1" s="2" t="s">
        <v>940</v>
      </c>
      <c r="W1" s="2" t="s">
        <v>941</v>
      </c>
      <c r="X1" s="2" t="s">
        <v>942</v>
      </c>
      <c r="Y1" s="2" t="s">
        <v>1002</v>
      </c>
      <c r="Z1" s="2" t="s">
        <v>1003</v>
      </c>
      <c r="AA1" s="2" t="s">
        <v>1004</v>
      </c>
      <c r="AB1" s="2" t="s">
        <v>1005</v>
      </c>
    </row>
    <row r="2" spans="1:28" x14ac:dyDescent="0.35">
      <c r="A2" s="14">
        <v>1</v>
      </c>
      <c r="B2" s="20">
        <f>_xlfn.XLOOKUP(C2, csl_deposits!B:B, csl_deposits!A:A, "NA", 0,1)</f>
        <v>38</v>
      </c>
      <c r="C2" s="14" t="s">
        <v>702</v>
      </c>
      <c r="D2" s="14" t="s">
        <v>511</v>
      </c>
      <c r="E2" s="14">
        <v>155</v>
      </c>
      <c r="F2" s="15" t="s">
        <v>229</v>
      </c>
      <c r="G2" s="14">
        <v>-7.43</v>
      </c>
      <c r="H2" s="14">
        <v>30.52</v>
      </c>
      <c r="I2">
        <v>302</v>
      </c>
      <c r="J2" t="s">
        <v>1166</v>
      </c>
      <c r="K2">
        <v>-7.6114185000000001</v>
      </c>
      <c r="L2">
        <v>30.5096448</v>
      </c>
      <c r="M2" s="14" t="s">
        <v>24</v>
      </c>
      <c r="N2" s="14" t="s">
        <v>1175</v>
      </c>
      <c r="R2" s="14" t="s">
        <v>230</v>
      </c>
      <c r="U2" s="14" t="s">
        <v>225</v>
      </c>
    </row>
    <row r="3" spans="1:28" x14ac:dyDescent="0.35">
      <c r="A3" s="14">
        <v>2</v>
      </c>
      <c r="B3" s="20">
        <f>_xlfn.XLOOKUP(C3, csl_deposits!B:B, csl_deposits!A:A, "NA", 0,1)</f>
        <v>38</v>
      </c>
      <c r="C3" s="14" t="s">
        <v>702</v>
      </c>
      <c r="D3" s="14" t="s">
        <v>511</v>
      </c>
      <c r="E3" s="14">
        <v>156</v>
      </c>
      <c r="F3" s="15" t="s">
        <v>383</v>
      </c>
      <c r="G3" s="14">
        <v>-7.27</v>
      </c>
      <c r="H3" s="14">
        <v>30.72</v>
      </c>
      <c r="I3">
        <v>302</v>
      </c>
      <c r="J3" t="s">
        <v>1166</v>
      </c>
      <c r="K3">
        <v>-7.6114185000000001</v>
      </c>
      <c r="L3">
        <v>30.5096448</v>
      </c>
      <c r="M3" s="14" t="s">
        <v>24</v>
      </c>
      <c r="N3" s="14" t="s">
        <v>1175</v>
      </c>
      <c r="R3" s="14" t="s">
        <v>230</v>
      </c>
      <c r="U3" s="14" t="s">
        <v>225</v>
      </c>
    </row>
    <row r="4" spans="1:28" x14ac:dyDescent="0.35">
      <c r="A4" s="14">
        <v>9</v>
      </c>
      <c r="B4" s="20">
        <f>_xlfn.XLOOKUP(C4, csl_deposits!B:B, csl_deposits!A:A, "NA", 0,1)</f>
        <v>77</v>
      </c>
      <c r="C4" s="14" t="s">
        <v>871</v>
      </c>
      <c r="D4" s="14" t="s">
        <v>511</v>
      </c>
      <c r="E4" s="14">
        <v>154</v>
      </c>
      <c r="F4" s="15" t="s">
        <v>379</v>
      </c>
      <c r="G4" s="14">
        <v>-6.51</v>
      </c>
      <c r="H4" s="14">
        <v>30.56</v>
      </c>
      <c r="I4">
        <v>302</v>
      </c>
      <c r="J4" t="s">
        <v>1166</v>
      </c>
      <c r="K4">
        <v>-7.6114185000000001</v>
      </c>
      <c r="L4">
        <v>30.5096448</v>
      </c>
      <c r="M4" s="14" t="s">
        <v>24</v>
      </c>
      <c r="N4" s="14" t="s">
        <v>1175</v>
      </c>
      <c r="O4" s="14" t="s">
        <v>387</v>
      </c>
      <c r="S4" s="14" t="s">
        <v>1034</v>
      </c>
      <c r="U4" s="14" t="s">
        <v>390</v>
      </c>
      <c r="V4" s="14" t="s">
        <v>225</v>
      </c>
    </row>
    <row r="5" spans="1:28" x14ac:dyDescent="0.35">
      <c r="A5" s="14">
        <v>10</v>
      </c>
      <c r="B5" s="20">
        <f>_xlfn.XLOOKUP(C5, csl_deposits!B:B, csl_deposits!A:A, "NA", 0,1)</f>
        <v>77</v>
      </c>
      <c r="C5" s="14" t="s">
        <v>871</v>
      </c>
      <c r="D5" s="14" t="s">
        <v>511</v>
      </c>
      <c r="E5" s="14">
        <v>275</v>
      </c>
      <c r="F5" s="15" t="s">
        <v>315</v>
      </c>
      <c r="G5" s="14">
        <v>-6.9</v>
      </c>
      <c r="H5" s="14">
        <v>30.42</v>
      </c>
      <c r="I5">
        <v>302</v>
      </c>
      <c r="J5" t="s">
        <v>1166</v>
      </c>
      <c r="K5">
        <v>-7.6114185000000001</v>
      </c>
      <c r="L5">
        <v>30.5096448</v>
      </c>
      <c r="M5" s="14" t="s">
        <v>24</v>
      </c>
      <c r="N5" s="14" t="s">
        <v>1175</v>
      </c>
      <c r="O5" s="14" t="s">
        <v>387</v>
      </c>
      <c r="S5" s="14" t="s">
        <v>1034</v>
      </c>
      <c r="U5" s="14" t="s">
        <v>225</v>
      </c>
    </row>
    <row r="6" spans="1:28" x14ac:dyDescent="0.35">
      <c r="A6" s="14">
        <v>11</v>
      </c>
      <c r="B6" s="20">
        <f>_xlfn.XLOOKUP(C6, csl_deposits!B:B, csl_deposits!A:A, "NA", 0,1)</f>
        <v>77</v>
      </c>
      <c r="C6" s="14" t="s">
        <v>871</v>
      </c>
      <c r="D6" s="14" t="s">
        <v>511</v>
      </c>
      <c r="E6" s="14">
        <v>157</v>
      </c>
      <c r="F6" s="15" t="s">
        <v>373</v>
      </c>
      <c r="G6" s="14">
        <v>-7.56</v>
      </c>
      <c r="H6" s="14">
        <v>30.76</v>
      </c>
      <c r="I6">
        <v>302</v>
      </c>
      <c r="J6" t="s">
        <v>1166</v>
      </c>
      <c r="K6">
        <v>-7.6114185000000001</v>
      </c>
      <c r="L6">
        <v>30.5096448</v>
      </c>
      <c r="M6" s="14" t="s">
        <v>24</v>
      </c>
      <c r="N6" s="14" t="s">
        <v>1175</v>
      </c>
      <c r="O6" s="14" t="s">
        <v>387</v>
      </c>
      <c r="S6" s="14" t="s">
        <v>1034</v>
      </c>
      <c r="U6" s="14" t="s">
        <v>225</v>
      </c>
    </row>
    <row r="7" spans="1:28" x14ac:dyDescent="0.35">
      <c r="A7" s="14">
        <v>12</v>
      </c>
      <c r="B7" s="20">
        <f>_xlfn.XLOOKUP(C7, csl_deposits!B:B, csl_deposits!A:A, "NA", 0,1)</f>
        <v>77</v>
      </c>
      <c r="C7" s="14" t="s">
        <v>871</v>
      </c>
      <c r="D7" s="14" t="s">
        <v>511</v>
      </c>
      <c r="E7" s="14">
        <v>276</v>
      </c>
      <c r="F7" s="15" t="s">
        <v>1167</v>
      </c>
      <c r="G7" s="14">
        <v>-8.48</v>
      </c>
      <c r="H7" s="14">
        <v>30.24</v>
      </c>
      <c r="I7">
        <v>302</v>
      </c>
      <c r="J7" t="s">
        <v>1166</v>
      </c>
      <c r="K7">
        <v>-7.6114185000000001</v>
      </c>
      <c r="L7">
        <v>30.5096448</v>
      </c>
      <c r="M7" s="14" t="s">
        <v>24</v>
      </c>
      <c r="N7" s="14" t="s">
        <v>1175</v>
      </c>
      <c r="O7" s="14" t="s">
        <v>387</v>
      </c>
      <c r="S7" s="14" t="s">
        <v>1034</v>
      </c>
      <c r="U7" s="14" t="s">
        <v>225</v>
      </c>
    </row>
    <row r="8" spans="1:28" x14ac:dyDescent="0.35">
      <c r="A8" s="14">
        <v>13</v>
      </c>
      <c r="B8" s="20">
        <f>_xlfn.XLOOKUP(C8, csl_deposits!B:B, csl_deposits!A:A, "NA", 0,1)</f>
        <v>1</v>
      </c>
      <c r="C8" s="14" t="s">
        <v>509</v>
      </c>
      <c r="D8" s="14" t="s">
        <v>511</v>
      </c>
      <c r="E8" s="14">
        <v>305</v>
      </c>
      <c r="F8" s="14" t="s">
        <v>4</v>
      </c>
      <c r="G8" s="14">
        <v>44.225560000000002</v>
      </c>
      <c r="H8" s="14">
        <v>23.71837</v>
      </c>
      <c r="I8">
        <v>305</v>
      </c>
      <c r="J8" t="s">
        <v>4</v>
      </c>
      <c r="K8">
        <v>44.225560000000002</v>
      </c>
      <c r="L8">
        <v>23.71837</v>
      </c>
      <c r="M8" s="14" t="s">
        <v>24</v>
      </c>
      <c r="O8" s="14" t="s">
        <v>15</v>
      </c>
      <c r="Q8" s="14" t="s">
        <v>16</v>
      </c>
      <c r="S8" s="14" t="s">
        <v>509</v>
      </c>
      <c r="U8" s="14" t="s">
        <v>1178</v>
      </c>
      <c r="V8" s="14" t="s">
        <v>1436</v>
      </c>
      <c r="W8" s="14" t="s">
        <v>10</v>
      </c>
    </row>
    <row r="9" spans="1:28" x14ac:dyDescent="0.35">
      <c r="A9" s="14">
        <v>18</v>
      </c>
      <c r="B9" s="20">
        <f>_xlfn.XLOOKUP(C9, csl_deposits!B:B, csl_deposits!A:A, "NA", 0,1)</f>
        <v>14</v>
      </c>
      <c r="C9" s="14" t="s">
        <v>582</v>
      </c>
      <c r="D9" s="14" t="s">
        <v>511</v>
      </c>
      <c r="E9" s="14">
        <v>151</v>
      </c>
      <c r="F9" s="14" t="s">
        <v>83</v>
      </c>
      <c r="G9" s="14">
        <v>144.862487484181</v>
      </c>
      <c r="H9" s="14">
        <v>-40.7438283474972</v>
      </c>
      <c r="I9">
        <v>310</v>
      </c>
      <c r="J9" t="s">
        <v>457</v>
      </c>
      <c r="K9">
        <v>144.80629007504999</v>
      </c>
      <c r="L9">
        <v>-40.772982706328499</v>
      </c>
      <c r="M9" s="14" t="s">
        <v>24</v>
      </c>
      <c r="O9" s="14" t="s">
        <v>85</v>
      </c>
      <c r="P9" s="14" t="s">
        <v>86</v>
      </c>
      <c r="Q9" s="14" t="s">
        <v>1101</v>
      </c>
      <c r="U9" s="14" t="s">
        <v>1102</v>
      </c>
      <c r="V9" s="14" t="s">
        <v>1103</v>
      </c>
      <c r="W9" s="14" t="s">
        <v>1104</v>
      </c>
      <c r="X9" s="14" t="s">
        <v>75</v>
      </c>
      <c r="Y9" s="14" t="s">
        <v>74</v>
      </c>
      <c r="Z9" s="14" t="s">
        <v>1105</v>
      </c>
      <c r="AA9" s="14" t="s">
        <v>458</v>
      </c>
    </row>
    <row r="10" spans="1:28" x14ac:dyDescent="0.35">
      <c r="A10" s="14">
        <v>28</v>
      </c>
      <c r="B10" s="20">
        <f>_xlfn.XLOOKUP(C10, csl_deposits!B:B, csl_deposits!A:A, "NA", 0,1)</f>
        <v>26</v>
      </c>
      <c r="C10" s="14" t="s">
        <v>642</v>
      </c>
      <c r="D10" s="14" t="s">
        <v>511</v>
      </c>
      <c r="E10" s="14">
        <v>152</v>
      </c>
      <c r="F10" s="14" t="s">
        <v>134</v>
      </c>
      <c r="G10" s="14">
        <v>-53.590888999999997</v>
      </c>
      <c r="H10" s="14">
        <v>46.923333999999997</v>
      </c>
      <c r="I10">
        <v>323</v>
      </c>
      <c r="J10" t="s">
        <v>454</v>
      </c>
      <c r="K10">
        <v>-53.321125481998898</v>
      </c>
      <c r="L10">
        <v>47.322524256138401</v>
      </c>
      <c r="M10" s="14" t="s">
        <v>24</v>
      </c>
      <c r="O10" s="14" t="s">
        <v>136</v>
      </c>
      <c r="Q10" s="14" t="s">
        <v>562</v>
      </c>
      <c r="U10" s="14" t="s">
        <v>1116</v>
      </c>
      <c r="V10" s="14" t="s">
        <v>1117</v>
      </c>
      <c r="W10" s="14" t="s">
        <v>138</v>
      </c>
      <c r="X10" s="14" t="s">
        <v>1118</v>
      </c>
    </row>
    <row r="11" spans="1:28" x14ac:dyDescent="0.35">
      <c r="A11" s="14">
        <v>29</v>
      </c>
      <c r="B11" s="20">
        <f>_xlfn.XLOOKUP(C11, csl_deposits!B:B, csl_deposits!A:A, "NA", 0,1)</f>
        <v>26</v>
      </c>
      <c r="C11" s="14" t="s">
        <v>642</v>
      </c>
      <c r="D11" s="14" t="s">
        <v>511</v>
      </c>
      <c r="E11" s="14">
        <v>259</v>
      </c>
      <c r="F11" s="15" t="s">
        <v>1119</v>
      </c>
      <c r="G11" s="14">
        <v>-53.74</v>
      </c>
      <c r="H11" s="14">
        <v>47.04</v>
      </c>
      <c r="I11">
        <v>323</v>
      </c>
      <c r="J11" t="s">
        <v>454</v>
      </c>
      <c r="K11">
        <v>-53.321125481998898</v>
      </c>
      <c r="L11">
        <v>47.322524256138401</v>
      </c>
      <c r="M11" s="14" t="s">
        <v>24</v>
      </c>
      <c r="O11" s="14" t="s">
        <v>136</v>
      </c>
      <c r="Q11" s="14" t="s">
        <v>562</v>
      </c>
      <c r="U11" s="14" t="s">
        <v>1116</v>
      </c>
      <c r="V11" s="14" t="s">
        <v>1117</v>
      </c>
      <c r="W11" s="14" t="s">
        <v>138</v>
      </c>
      <c r="X11" s="14" t="s">
        <v>1118</v>
      </c>
    </row>
    <row r="12" spans="1:28" x14ac:dyDescent="0.35">
      <c r="A12" s="14">
        <v>30</v>
      </c>
      <c r="B12" s="20">
        <f>_xlfn.XLOOKUP(C12, csl_deposits!B:B, csl_deposits!A:A, "NA", 0,1)</f>
        <v>26</v>
      </c>
      <c r="C12" s="14" t="s">
        <v>642</v>
      </c>
      <c r="D12" s="14" t="s">
        <v>511</v>
      </c>
      <c r="E12" s="14">
        <v>260</v>
      </c>
      <c r="F12" s="15" t="s">
        <v>1120</v>
      </c>
      <c r="G12" s="14">
        <v>-53.65</v>
      </c>
      <c r="H12" s="14">
        <v>46.98</v>
      </c>
      <c r="I12">
        <v>323</v>
      </c>
      <c r="J12" t="s">
        <v>454</v>
      </c>
      <c r="K12">
        <v>-53.321125481998898</v>
      </c>
      <c r="L12">
        <v>47.322524256138401</v>
      </c>
      <c r="M12" s="14" t="s">
        <v>24</v>
      </c>
      <c r="O12" s="14" t="s">
        <v>136</v>
      </c>
      <c r="Q12" s="14" t="s">
        <v>562</v>
      </c>
      <c r="U12" s="14" t="s">
        <v>1116</v>
      </c>
      <c r="V12" s="14" t="s">
        <v>1117</v>
      </c>
      <c r="W12" s="14" t="s">
        <v>138</v>
      </c>
      <c r="X12" s="14" t="s">
        <v>1118</v>
      </c>
    </row>
    <row r="13" spans="1:28" x14ac:dyDescent="0.35">
      <c r="A13" s="14">
        <v>31</v>
      </c>
      <c r="B13" s="20">
        <f>_xlfn.XLOOKUP(C13, csl_deposits!B:B, csl_deposits!A:A, "NA", 0,1)</f>
        <v>50</v>
      </c>
      <c r="C13" s="14" t="s">
        <v>763</v>
      </c>
      <c r="D13" s="14" t="s">
        <v>511</v>
      </c>
      <c r="E13" s="14">
        <v>259</v>
      </c>
      <c r="F13" s="14" t="s">
        <v>1119</v>
      </c>
      <c r="G13" s="14">
        <v>-53.74</v>
      </c>
      <c r="H13" s="14">
        <v>47.04</v>
      </c>
      <c r="I13">
        <v>323</v>
      </c>
      <c r="J13" t="s">
        <v>454</v>
      </c>
      <c r="K13">
        <v>-53.321125481998898</v>
      </c>
      <c r="L13">
        <v>47.322524256138401</v>
      </c>
      <c r="M13" s="14" t="s">
        <v>923</v>
      </c>
      <c r="O13" s="14" t="s">
        <v>136</v>
      </c>
      <c r="Q13" s="14" t="s">
        <v>141</v>
      </c>
      <c r="S13" s="14" t="s">
        <v>1142</v>
      </c>
      <c r="U13" s="14" t="s">
        <v>270</v>
      </c>
      <c r="V13" s="14" t="s">
        <v>138</v>
      </c>
      <c r="W13" s="14" t="s">
        <v>1118</v>
      </c>
    </row>
    <row r="14" spans="1:28" x14ac:dyDescent="0.35">
      <c r="A14" s="14">
        <v>32</v>
      </c>
      <c r="B14" s="20">
        <f>_xlfn.XLOOKUP(C14, csl_deposits!B:B, csl_deposits!A:A, "NA", 0,1)</f>
        <v>79</v>
      </c>
      <c r="C14" s="14" t="s">
        <v>403</v>
      </c>
      <c r="D14" s="14" t="s">
        <v>511</v>
      </c>
      <c r="E14" s="14">
        <v>277</v>
      </c>
      <c r="F14" s="14" t="s">
        <v>1168</v>
      </c>
      <c r="G14" s="14">
        <v>-53.379779999999997</v>
      </c>
      <c r="H14" s="14">
        <v>48.376618999999998</v>
      </c>
      <c r="I14">
        <v>325</v>
      </c>
      <c r="J14" t="s">
        <v>456</v>
      </c>
      <c r="K14">
        <v>-53.578495423021003</v>
      </c>
      <c r="L14">
        <v>48.357597752424802</v>
      </c>
      <c r="M14" s="14" t="s">
        <v>24</v>
      </c>
      <c r="O14" s="14" t="s">
        <v>407</v>
      </c>
      <c r="Q14" s="14" t="s">
        <v>408</v>
      </c>
      <c r="S14" s="14" t="s">
        <v>403</v>
      </c>
      <c r="T14" s="14" t="s">
        <v>1169</v>
      </c>
      <c r="U14" s="14" t="s">
        <v>1170</v>
      </c>
      <c r="V14" s="14" t="s">
        <v>138</v>
      </c>
    </row>
    <row r="15" spans="1:28" x14ac:dyDescent="0.35">
      <c r="A15" s="14">
        <v>33</v>
      </c>
      <c r="B15" s="20">
        <f>_xlfn.XLOOKUP(C15, csl_deposits!B:B, csl_deposits!A:A, "NA", 0,1)</f>
        <v>79</v>
      </c>
      <c r="C15" s="14" t="s">
        <v>403</v>
      </c>
      <c r="D15" s="14" t="s">
        <v>511</v>
      </c>
      <c r="E15" s="14">
        <v>278</v>
      </c>
      <c r="F15" s="14" t="s">
        <v>1171</v>
      </c>
      <c r="G15" s="14">
        <v>-53.43</v>
      </c>
      <c r="H15" s="14">
        <v>48.41</v>
      </c>
      <c r="I15">
        <v>325</v>
      </c>
      <c r="J15" t="s">
        <v>456</v>
      </c>
      <c r="K15">
        <v>-53.578495423021003</v>
      </c>
      <c r="L15">
        <v>48.357597752424802</v>
      </c>
      <c r="M15" s="14" t="s">
        <v>24</v>
      </c>
      <c r="O15" s="14" t="s">
        <v>407</v>
      </c>
      <c r="Q15" s="14" t="s">
        <v>408</v>
      </c>
      <c r="S15" s="14" t="s">
        <v>403</v>
      </c>
      <c r="T15" s="14" t="s">
        <v>1169</v>
      </c>
      <c r="U15" s="14" t="s">
        <v>138</v>
      </c>
    </row>
    <row r="16" spans="1:28" x14ac:dyDescent="0.35">
      <c r="A16" s="14">
        <v>34</v>
      </c>
      <c r="B16" s="20">
        <f>_xlfn.XLOOKUP(C16, csl_deposits!B:B, csl_deposits!A:A, "NA", 0,1)</f>
        <v>79</v>
      </c>
      <c r="C16" s="14" t="s">
        <v>403</v>
      </c>
      <c r="D16" s="14" t="s">
        <v>511</v>
      </c>
      <c r="E16" s="14">
        <v>279</v>
      </c>
      <c r="F16" s="14" t="s">
        <v>405</v>
      </c>
      <c r="G16" s="14">
        <v>-53.43</v>
      </c>
      <c r="H16" s="14">
        <v>48.29</v>
      </c>
      <c r="I16">
        <v>325</v>
      </c>
      <c r="J16" t="s">
        <v>456</v>
      </c>
      <c r="K16">
        <v>-53.578495423021003</v>
      </c>
      <c r="L16">
        <v>48.357597752424802</v>
      </c>
      <c r="M16" s="14" t="s">
        <v>24</v>
      </c>
      <c r="O16" s="14" t="s">
        <v>407</v>
      </c>
      <c r="Q16" s="14" t="s">
        <v>408</v>
      </c>
      <c r="S16" s="14" t="s">
        <v>403</v>
      </c>
      <c r="T16" s="14" t="s">
        <v>1169</v>
      </c>
      <c r="U16" s="14" t="s">
        <v>138</v>
      </c>
    </row>
    <row r="17" spans="1:28" x14ac:dyDescent="0.35">
      <c r="A17" s="14">
        <v>35</v>
      </c>
      <c r="B17" s="20">
        <f>_xlfn.XLOOKUP(C17, csl_deposits!B:B, csl_deposits!A:A, "NA", 0,1)</f>
        <v>79</v>
      </c>
      <c r="C17" s="14" t="s">
        <v>403</v>
      </c>
      <c r="D17" s="14" t="s">
        <v>511</v>
      </c>
      <c r="E17" s="14">
        <v>280</v>
      </c>
      <c r="F17" s="14" t="s">
        <v>1172</v>
      </c>
      <c r="G17" s="14">
        <v>-53.43</v>
      </c>
      <c r="H17" s="14">
        <v>48.28</v>
      </c>
      <c r="I17">
        <v>325</v>
      </c>
      <c r="J17" t="s">
        <v>456</v>
      </c>
      <c r="K17">
        <v>-53.578495423021003</v>
      </c>
      <c r="L17">
        <v>48.357597752424802</v>
      </c>
      <c r="M17" s="14" t="s">
        <v>24</v>
      </c>
      <c r="O17" s="14" t="s">
        <v>407</v>
      </c>
      <c r="Q17" s="14" t="s">
        <v>408</v>
      </c>
      <c r="S17" s="14" t="s">
        <v>403</v>
      </c>
      <c r="T17" s="14" t="s">
        <v>1169</v>
      </c>
      <c r="U17" s="14" t="s">
        <v>138</v>
      </c>
    </row>
    <row r="18" spans="1:28" x14ac:dyDescent="0.35">
      <c r="A18" s="14">
        <v>43</v>
      </c>
      <c r="B18" s="20">
        <f>_xlfn.XLOOKUP(C18, csl_deposits!B:B, csl_deposits!A:A, "NA", 0,1)</f>
        <v>44</v>
      </c>
      <c r="C18" s="14" t="s">
        <v>732</v>
      </c>
      <c r="D18" s="14" t="s">
        <v>511</v>
      </c>
      <c r="E18" s="14">
        <v>264</v>
      </c>
      <c r="F18" s="14" t="s">
        <v>1131</v>
      </c>
      <c r="G18" s="14">
        <v>-55.26</v>
      </c>
      <c r="H18" s="14">
        <v>-34.71</v>
      </c>
      <c r="I18">
        <v>330</v>
      </c>
      <c r="J18" t="s">
        <v>1132</v>
      </c>
      <c r="K18">
        <v>-55.26</v>
      </c>
      <c r="L18">
        <v>-34.71</v>
      </c>
      <c r="M18" s="14" t="s">
        <v>24</v>
      </c>
      <c r="O18" s="14" t="s">
        <v>1132</v>
      </c>
      <c r="Q18" s="14" t="s">
        <v>1133</v>
      </c>
      <c r="U18" s="14" t="s">
        <v>1134</v>
      </c>
      <c r="V18" s="14" t="s">
        <v>1135</v>
      </c>
      <c r="W18" s="14" t="s">
        <v>1136</v>
      </c>
      <c r="X18" s="14" t="s">
        <v>1137</v>
      </c>
      <c r="Y18" s="14" t="s">
        <v>1138</v>
      </c>
      <c r="Z18" s="14" t="s">
        <v>1139</v>
      </c>
    </row>
    <row r="19" spans="1:28" x14ac:dyDescent="0.35">
      <c r="A19" s="14">
        <v>44</v>
      </c>
      <c r="B19" s="20">
        <f>_xlfn.XLOOKUP(C19, csl_deposits!B:B, csl_deposits!A:A, "NA", 0,1)</f>
        <v>44</v>
      </c>
      <c r="C19" s="14" t="s">
        <v>732</v>
      </c>
      <c r="D19" s="14" t="s">
        <v>511</v>
      </c>
      <c r="E19" s="14">
        <v>266</v>
      </c>
      <c r="F19" s="14" t="s">
        <v>1140</v>
      </c>
      <c r="G19" s="14">
        <v>-55.28</v>
      </c>
      <c r="H19" s="14">
        <v>-34.369999999999997</v>
      </c>
      <c r="I19">
        <v>330</v>
      </c>
      <c r="J19" t="s">
        <v>1132</v>
      </c>
      <c r="K19">
        <v>-55.26</v>
      </c>
      <c r="L19">
        <v>-34.71</v>
      </c>
      <c r="M19" s="14" t="s">
        <v>24</v>
      </c>
      <c r="O19" s="14" t="s">
        <v>1132</v>
      </c>
      <c r="Q19" s="14" t="s">
        <v>1133</v>
      </c>
      <c r="U19" s="14" t="s">
        <v>1137</v>
      </c>
    </row>
    <row r="20" spans="1:28" x14ac:dyDescent="0.35">
      <c r="A20" s="14">
        <v>45</v>
      </c>
      <c r="B20" s="20">
        <f>_xlfn.XLOOKUP(C20, csl_deposits!B:B, csl_deposits!A:A, "NA", 0,1)</f>
        <v>44</v>
      </c>
      <c r="C20" s="14" t="s">
        <v>732</v>
      </c>
      <c r="D20" s="14" t="s">
        <v>511</v>
      </c>
      <c r="E20" s="14">
        <v>268</v>
      </c>
      <c r="F20" s="14" t="s">
        <v>259</v>
      </c>
      <c r="G20" s="14">
        <v>-55.24</v>
      </c>
      <c r="H20" s="14">
        <v>-34.770000000000003</v>
      </c>
      <c r="I20">
        <v>330</v>
      </c>
      <c r="J20" t="s">
        <v>1132</v>
      </c>
      <c r="K20">
        <v>-55.26</v>
      </c>
      <c r="L20">
        <v>-34.71</v>
      </c>
      <c r="M20" s="14" t="s">
        <v>24</v>
      </c>
      <c r="O20" s="14" t="s">
        <v>1132</v>
      </c>
      <c r="Q20" s="14" t="s">
        <v>1133</v>
      </c>
      <c r="U20" s="14" t="s">
        <v>260</v>
      </c>
      <c r="V20" s="14" t="s">
        <v>1137</v>
      </c>
    </row>
    <row r="21" spans="1:28" x14ac:dyDescent="0.35">
      <c r="A21" s="14">
        <v>46</v>
      </c>
      <c r="B21" s="20">
        <f>_xlfn.XLOOKUP(C21, csl_deposits!B:B, csl_deposits!A:A, "NA", 0,1)</f>
        <v>44</v>
      </c>
      <c r="C21" s="14" t="s">
        <v>732</v>
      </c>
      <c r="D21" s="14" t="s">
        <v>511</v>
      </c>
      <c r="E21" s="14">
        <v>267</v>
      </c>
      <c r="F21" s="14" t="s">
        <v>254</v>
      </c>
      <c r="G21" s="14">
        <v>-55.28</v>
      </c>
      <c r="H21" s="14">
        <v>-34.880000000000003</v>
      </c>
      <c r="I21">
        <v>330</v>
      </c>
      <c r="J21" t="s">
        <v>1132</v>
      </c>
      <c r="K21">
        <v>-55.26</v>
      </c>
      <c r="L21">
        <v>-34.71</v>
      </c>
      <c r="M21" s="14" t="s">
        <v>24</v>
      </c>
      <c r="O21" s="14" t="s">
        <v>1132</v>
      </c>
      <c r="Q21" s="14" t="s">
        <v>1133</v>
      </c>
      <c r="U21" s="14" t="s">
        <v>257</v>
      </c>
      <c r="V21" s="14" t="s">
        <v>1137</v>
      </c>
    </row>
    <row r="22" spans="1:28" x14ac:dyDescent="0.35">
      <c r="A22" s="14">
        <v>47</v>
      </c>
      <c r="B22" s="20">
        <f>_xlfn.XLOOKUP(C22, csl_deposits!B:B, csl_deposits!A:A, "NA", 0,1)</f>
        <v>44</v>
      </c>
      <c r="C22" s="14" t="s">
        <v>732</v>
      </c>
      <c r="D22" s="14" t="s">
        <v>511</v>
      </c>
      <c r="E22" s="14">
        <v>265</v>
      </c>
      <c r="F22" s="14" t="s">
        <v>262</v>
      </c>
      <c r="G22" s="14">
        <v>-55.27</v>
      </c>
      <c r="H22" s="14">
        <v>-34.53</v>
      </c>
      <c r="I22">
        <v>330</v>
      </c>
      <c r="J22" t="s">
        <v>1132</v>
      </c>
      <c r="K22">
        <v>-55.26</v>
      </c>
      <c r="L22">
        <v>-34.71</v>
      </c>
      <c r="M22" s="14" t="s">
        <v>24</v>
      </c>
      <c r="O22" s="14" t="s">
        <v>1132</v>
      </c>
      <c r="Q22" s="14" t="s">
        <v>1133</v>
      </c>
      <c r="U22" s="14" t="s">
        <v>264</v>
      </c>
    </row>
    <row r="23" spans="1:28" x14ac:dyDescent="0.35">
      <c r="A23" s="14">
        <v>48</v>
      </c>
      <c r="B23" s="20">
        <f>_xlfn.XLOOKUP(C23, csl_deposits!B:B, csl_deposits!A:A, "NA", 0,1)</f>
        <v>9</v>
      </c>
      <c r="C23" s="14" t="s">
        <v>559</v>
      </c>
      <c r="D23" s="14" t="s">
        <v>511</v>
      </c>
      <c r="E23" s="14">
        <v>249</v>
      </c>
      <c r="F23" s="14" t="s">
        <v>1091</v>
      </c>
      <c r="G23" s="14">
        <v>138.56</v>
      </c>
      <c r="H23" s="14">
        <v>-31.43</v>
      </c>
      <c r="I23">
        <v>233</v>
      </c>
      <c r="J23" t="s">
        <v>451</v>
      </c>
      <c r="K23">
        <v>138.664974802903</v>
      </c>
      <c r="L23">
        <v>-31.372567842687999</v>
      </c>
      <c r="M23" s="14" t="s">
        <v>1392</v>
      </c>
      <c r="O23" s="14" t="s">
        <v>983</v>
      </c>
      <c r="Q23" s="14" t="s">
        <v>1008</v>
      </c>
      <c r="U23" s="14" t="s">
        <v>1092</v>
      </c>
      <c r="V23" s="14" t="s">
        <v>1093</v>
      </c>
      <c r="W23" s="14" t="s">
        <v>1094</v>
      </c>
      <c r="X23" s="14" t="s">
        <v>1095</v>
      </c>
      <c r="Y23" s="14" t="s">
        <v>1096</v>
      </c>
      <c r="Z23" s="14" t="s">
        <v>1097</v>
      </c>
      <c r="AA23" s="14" t="s">
        <v>1098</v>
      </c>
      <c r="AB23" s="14" t="s">
        <v>1099</v>
      </c>
    </row>
    <row r="24" spans="1:28" x14ac:dyDescent="0.35">
      <c r="A24" s="14">
        <v>49</v>
      </c>
      <c r="B24" s="20">
        <f>_xlfn.XLOOKUP(C24, csl_deposits!B:B, csl_deposits!A:A, "NA", 0,1)</f>
        <v>9</v>
      </c>
      <c r="C24" s="14" t="s">
        <v>559</v>
      </c>
      <c r="D24" s="14" t="s">
        <v>511</v>
      </c>
      <c r="E24" s="14">
        <v>249</v>
      </c>
      <c r="F24" s="14" t="s">
        <v>1091</v>
      </c>
      <c r="G24" s="14">
        <v>138.56</v>
      </c>
      <c r="H24" s="14">
        <v>-31.43</v>
      </c>
      <c r="I24">
        <v>233</v>
      </c>
      <c r="J24" t="s">
        <v>451</v>
      </c>
      <c r="K24">
        <v>138.664974802903</v>
      </c>
      <c r="L24">
        <v>-31.372567842687999</v>
      </c>
      <c r="M24" s="14" t="s">
        <v>1393</v>
      </c>
      <c r="O24" s="14" t="s">
        <v>983</v>
      </c>
      <c r="Q24" s="14" t="s">
        <v>1008</v>
      </c>
      <c r="U24" s="14" t="s">
        <v>1092</v>
      </c>
      <c r="V24" s="14" t="s">
        <v>1093</v>
      </c>
      <c r="W24" s="14" t="s">
        <v>1094</v>
      </c>
      <c r="X24" s="14" t="s">
        <v>1095</v>
      </c>
      <c r="Y24" s="14" t="s">
        <v>1096</v>
      </c>
      <c r="Z24" s="14" t="s">
        <v>1097</v>
      </c>
      <c r="AA24" s="14" t="s">
        <v>1098</v>
      </c>
      <c r="AB24" s="14" t="s">
        <v>1099</v>
      </c>
    </row>
    <row r="25" spans="1:28" x14ac:dyDescent="0.35">
      <c r="A25" s="14">
        <v>50</v>
      </c>
      <c r="B25" s="20">
        <f>_xlfn.XLOOKUP(C25, csl_deposits!B:B, csl_deposits!A:A, "NA", 0,1)</f>
        <v>9</v>
      </c>
      <c r="C25" s="14" t="s">
        <v>559</v>
      </c>
      <c r="D25" s="14" t="s">
        <v>511</v>
      </c>
      <c r="E25" s="14">
        <v>250</v>
      </c>
      <c r="F25" s="14" t="s">
        <v>1100</v>
      </c>
      <c r="G25" s="14">
        <v>138.53</v>
      </c>
      <c r="H25" s="14">
        <v>-31.14</v>
      </c>
      <c r="I25">
        <v>233</v>
      </c>
      <c r="J25" t="s">
        <v>451</v>
      </c>
      <c r="K25">
        <v>138.664974802903</v>
      </c>
      <c r="L25">
        <v>-31.372567842687999</v>
      </c>
      <c r="M25" s="14" t="s">
        <v>1392</v>
      </c>
      <c r="O25" s="14" t="s">
        <v>983</v>
      </c>
      <c r="Q25" s="14" t="s">
        <v>1008</v>
      </c>
      <c r="U25" s="14" t="s">
        <v>1092</v>
      </c>
      <c r="V25" s="14" t="s">
        <v>1093</v>
      </c>
      <c r="W25" s="14" t="s">
        <v>1094</v>
      </c>
      <c r="X25" s="14" t="s">
        <v>1095</v>
      </c>
      <c r="Y25" s="14" t="s">
        <v>1096</v>
      </c>
      <c r="Z25" s="14" t="s">
        <v>1097</v>
      </c>
      <c r="AA25" s="14" t="s">
        <v>1098</v>
      </c>
      <c r="AB25" s="14" t="s">
        <v>1099</v>
      </c>
    </row>
    <row r="26" spans="1:28" x14ac:dyDescent="0.35">
      <c r="A26" s="14">
        <v>51</v>
      </c>
      <c r="B26" s="20">
        <f>_xlfn.XLOOKUP(C26, csl_deposits!B:B, csl_deposits!A:A, "NA", 0,1)</f>
        <v>9</v>
      </c>
      <c r="C26" s="14" t="s">
        <v>559</v>
      </c>
      <c r="D26" s="14" t="s">
        <v>511</v>
      </c>
      <c r="E26" s="14">
        <v>250</v>
      </c>
      <c r="F26" s="14" t="s">
        <v>1100</v>
      </c>
      <c r="G26" s="14">
        <v>138.53</v>
      </c>
      <c r="H26" s="14">
        <v>-31.14</v>
      </c>
      <c r="I26">
        <v>233</v>
      </c>
      <c r="J26" t="s">
        <v>451</v>
      </c>
      <c r="K26">
        <v>138.664974802903</v>
      </c>
      <c r="L26">
        <v>-31.372567842687999</v>
      </c>
      <c r="M26" s="14" t="s">
        <v>1393</v>
      </c>
      <c r="O26" s="14" t="s">
        <v>983</v>
      </c>
      <c r="Q26" s="14" t="s">
        <v>1008</v>
      </c>
      <c r="U26" s="14" t="s">
        <v>1092</v>
      </c>
      <c r="V26" s="14" t="s">
        <v>1093</v>
      </c>
      <c r="W26" s="14" t="s">
        <v>1094</v>
      </c>
      <c r="X26" s="14" t="s">
        <v>1095</v>
      </c>
      <c r="Y26" s="14" t="s">
        <v>1096</v>
      </c>
      <c r="Z26" s="14" t="s">
        <v>1097</v>
      </c>
      <c r="AA26" s="14" t="s">
        <v>1098</v>
      </c>
      <c r="AB26" s="14" t="s">
        <v>1099</v>
      </c>
    </row>
    <row r="27" spans="1:28" x14ac:dyDescent="0.35">
      <c r="A27" s="14">
        <v>52</v>
      </c>
      <c r="B27" s="20">
        <f>_xlfn.XLOOKUP(C27, csl_deposits!B:B, csl_deposits!A:A, "NA", 0,1)</f>
        <v>9</v>
      </c>
      <c r="C27" s="14" t="s">
        <v>559</v>
      </c>
      <c r="D27" s="14" t="s">
        <v>511</v>
      </c>
      <c r="E27" s="14">
        <v>92</v>
      </c>
      <c r="F27" s="14" t="s">
        <v>452</v>
      </c>
      <c r="G27" s="14">
        <v>138.86761229314399</v>
      </c>
      <c r="H27" s="14">
        <v>-31.467181467181401</v>
      </c>
      <c r="I27">
        <v>233</v>
      </c>
      <c r="J27" t="s">
        <v>451</v>
      </c>
      <c r="K27">
        <v>138.664974802903</v>
      </c>
      <c r="L27">
        <v>-31.372567842687999</v>
      </c>
      <c r="M27" s="14" t="s">
        <v>1393</v>
      </c>
      <c r="O27" s="14" t="s">
        <v>983</v>
      </c>
      <c r="Q27" s="14" t="s">
        <v>1008</v>
      </c>
      <c r="U27" s="14" t="s">
        <v>1092</v>
      </c>
      <c r="V27" s="14" t="s">
        <v>1093</v>
      </c>
      <c r="W27" s="14" t="s">
        <v>1094</v>
      </c>
      <c r="X27" s="14" t="s">
        <v>1095</v>
      </c>
      <c r="Y27" s="14" t="s">
        <v>1096</v>
      </c>
      <c r="Z27" s="14" t="s">
        <v>1097</v>
      </c>
      <c r="AA27" s="14" t="s">
        <v>1098</v>
      </c>
      <c r="AB27" s="14" t="s">
        <v>1099</v>
      </c>
    </row>
    <row r="28" spans="1:28" x14ac:dyDescent="0.35">
      <c r="A28" s="14">
        <v>53</v>
      </c>
      <c r="B28" s="20">
        <f>_xlfn.XLOOKUP(C28, csl_deposits!B:B, csl_deposits!A:A, "NA", 0,1)</f>
        <v>9</v>
      </c>
      <c r="C28" s="14" t="s">
        <v>559</v>
      </c>
      <c r="D28" s="14" t="s">
        <v>511</v>
      </c>
      <c r="E28" s="14">
        <v>92</v>
      </c>
      <c r="F28" s="14" t="s">
        <v>452</v>
      </c>
      <c r="G28" s="14">
        <v>138.86761229314399</v>
      </c>
      <c r="H28" s="14">
        <v>-31.467181467181401</v>
      </c>
      <c r="I28">
        <v>233</v>
      </c>
      <c r="J28" t="s">
        <v>451</v>
      </c>
      <c r="K28">
        <v>138.664974802903</v>
      </c>
      <c r="L28">
        <v>-31.372567842687999</v>
      </c>
      <c r="M28" s="14" t="s">
        <v>1393</v>
      </c>
      <c r="O28" s="14" t="s">
        <v>983</v>
      </c>
      <c r="Q28" s="14" t="s">
        <v>1008</v>
      </c>
      <c r="U28" s="14" t="s">
        <v>1092</v>
      </c>
      <c r="V28" s="14" t="s">
        <v>1093</v>
      </c>
      <c r="W28" s="14" t="s">
        <v>1094</v>
      </c>
      <c r="X28" s="14" t="s">
        <v>1095</v>
      </c>
      <c r="Y28" s="14" t="s">
        <v>1096</v>
      </c>
      <c r="Z28" s="14" t="s">
        <v>1097</v>
      </c>
      <c r="AA28" s="14" t="s">
        <v>1098</v>
      </c>
      <c r="AB28" s="14" t="s">
        <v>1099</v>
      </c>
    </row>
    <row r="29" spans="1:28" x14ac:dyDescent="0.35">
      <c r="A29" s="14">
        <v>54</v>
      </c>
      <c r="B29" s="20">
        <f>_xlfn.XLOOKUP(C29, csl_deposits!B:B, csl_deposits!A:A, "NA", 0,1)</f>
        <v>15</v>
      </c>
      <c r="C29" s="14" t="s">
        <v>589</v>
      </c>
      <c r="D29" s="14" t="s">
        <v>511</v>
      </c>
      <c r="E29" s="14">
        <v>252</v>
      </c>
      <c r="F29" s="14" t="s">
        <v>1106</v>
      </c>
      <c r="G29" s="14">
        <v>131.94</v>
      </c>
      <c r="H29" s="14">
        <v>-28.4</v>
      </c>
      <c r="I29">
        <v>331</v>
      </c>
      <c r="J29" t="s">
        <v>1107</v>
      </c>
      <c r="K29">
        <v>131.94</v>
      </c>
      <c r="L29">
        <v>-28.4</v>
      </c>
      <c r="M29" s="14" t="s">
        <v>1393</v>
      </c>
      <c r="O29" s="14" t="s">
        <v>1108</v>
      </c>
      <c r="Q29" s="14" t="s">
        <v>1109</v>
      </c>
      <c r="U29" s="14" t="s">
        <v>1097</v>
      </c>
    </row>
    <row r="30" spans="1:28" x14ac:dyDescent="0.35">
      <c r="A30" s="14">
        <v>55</v>
      </c>
      <c r="B30" s="20">
        <f>_xlfn.XLOOKUP(C30, csl_deposits!B:B, csl_deposits!A:A, "NA", 0,1)</f>
        <v>15</v>
      </c>
      <c r="C30" s="14" t="s">
        <v>589</v>
      </c>
      <c r="D30" s="14" t="s">
        <v>511</v>
      </c>
      <c r="E30" s="14">
        <v>253</v>
      </c>
      <c r="F30" s="14" t="s">
        <v>1110</v>
      </c>
      <c r="G30" s="14">
        <v>132.19999999999999</v>
      </c>
      <c r="H30" s="14">
        <v>-29.26</v>
      </c>
      <c r="I30">
        <v>331</v>
      </c>
      <c r="J30" t="s">
        <v>1107</v>
      </c>
      <c r="K30">
        <v>131.94</v>
      </c>
      <c r="L30">
        <v>-28.4</v>
      </c>
      <c r="M30" s="14" t="s">
        <v>1393</v>
      </c>
      <c r="O30" s="14" t="s">
        <v>1108</v>
      </c>
      <c r="Q30" s="14" t="s">
        <v>1109</v>
      </c>
      <c r="U30" s="14" t="s">
        <v>1097</v>
      </c>
    </row>
    <row r="31" spans="1:28" x14ac:dyDescent="0.35">
      <c r="A31" s="14">
        <v>58</v>
      </c>
      <c r="B31" s="20">
        <f>_xlfn.XLOOKUP(C31, csl_deposits!B:B, csl_deposits!A:A, "NA", 0,1)</f>
        <v>18</v>
      </c>
      <c r="C31" s="14" t="s">
        <v>603</v>
      </c>
      <c r="D31" s="14" t="s">
        <v>511</v>
      </c>
      <c r="E31" s="14">
        <v>256</v>
      </c>
      <c r="F31" s="15" t="s">
        <v>1398</v>
      </c>
      <c r="G31" s="14">
        <v>111.35</v>
      </c>
      <c r="H31" s="14">
        <v>30.33</v>
      </c>
      <c r="I31">
        <v>32</v>
      </c>
      <c r="J31" t="s">
        <v>448</v>
      </c>
      <c r="K31">
        <v>111.16</v>
      </c>
      <c r="L31">
        <v>30.79</v>
      </c>
      <c r="M31" s="14" t="s">
        <v>1400</v>
      </c>
      <c r="Q31" s="14" t="s">
        <v>98</v>
      </c>
      <c r="S31" s="14" t="s">
        <v>1402</v>
      </c>
      <c r="U31" s="14" t="s">
        <v>101</v>
      </c>
      <c r="V31" s="14" t="s">
        <v>29</v>
      </c>
    </row>
    <row r="32" spans="1:28" x14ac:dyDescent="0.35">
      <c r="A32" s="14">
        <v>59</v>
      </c>
      <c r="B32" s="20">
        <f>_xlfn.XLOOKUP(C32, csl_deposits!B:B, csl_deposits!A:A, "NA", 0,1)</f>
        <v>18</v>
      </c>
      <c r="C32" s="14" t="s">
        <v>603</v>
      </c>
      <c r="D32" s="14" t="s">
        <v>511</v>
      </c>
      <c r="E32" s="14">
        <v>255</v>
      </c>
      <c r="F32" s="15" t="s">
        <v>1399</v>
      </c>
      <c r="G32" s="14">
        <v>112.21</v>
      </c>
      <c r="H32" s="14">
        <v>31.5</v>
      </c>
      <c r="I32">
        <v>32</v>
      </c>
      <c r="J32" t="s">
        <v>448</v>
      </c>
      <c r="K32">
        <v>111.16</v>
      </c>
      <c r="L32">
        <v>30.79</v>
      </c>
      <c r="M32" s="14" t="s">
        <v>1400</v>
      </c>
      <c r="Q32" s="14" t="s">
        <v>98</v>
      </c>
      <c r="S32" s="14" t="s">
        <v>1401</v>
      </c>
      <c r="U32" s="14" t="s">
        <v>101</v>
      </c>
      <c r="V32" s="14" t="s">
        <v>29</v>
      </c>
    </row>
    <row r="33" spans="1:27" x14ac:dyDescent="0.35">
      <c r="A33" s="14">
        <v>63</v>
      </c>
      <c r="B33" s="20">
        <f>_xlfn.XLOOKUP(C33, csl_deposits!B:B, csl_deposits!A:A, "NA", 0,1)</f>
        <v>24</v>
      </c>
      <c r="C33" s="14" t="s">
        <v>627</v>
      </c>
      <c r="D33" s="14" t="s">
        <v>511</v>
      </c>
      <c r="E33" s="14">
        <v>257</v>
      </c>
      <c r="F33" s="15" t="s">
        <v>1111</v>
      </c>
      <c r="G33" s="14">
        <v>-77.64</v>
      </c>
      <c r="H33" s="14">
        <v>39.04</v>
      </c>
      <c r="I33">
        <v>334</v>
      </c>
      <c r="J33" t="s">
        <v>1112</v>
      </c>
      <c r="K33">
        <v>-77.64</v>
      </c>
      <c r="L33">
        <v>39.04</v>
      </c>
      <c r="M33" s="14" t="s">
        <v>24</v>
      </c>
      <c r="O33" s="14" t="s">
        <v>1113</v>
      </c>
      <c r="P33" s="14" t="s">
        <v>1404</v>
      </c>
      <c r="Q33" s="14" t="s">
        <v>611</v>
      </c>
      <c r="U33" s="14" t="s">
        <v>1114</v>
      </c>
      <c r="V33" s="14" t="s">
        <v>127</v>
      </c>
      <c r="W33" s="14" t="s">
        <v>128</v>
      </c>
    </row>
    <row r="34" spans="1:27" x14ac:dyDescent="0.35">
      <c r="A34" s="14">
        <v>64</v>
      </c>
      <c r="B34" s="20">
        <f>_xlfn.XLOOKUP(C34, csl_deposits!B:B, csl_deposits!A:A, "NA", 0,1)</f>
        <v>24</v>
      </c>
      <c r="C34" s="14" t="s">
        <v>627</v>
      </c>
      <c r="D34" s="14" t="s">
        <v>511</v>
      </c>
      <c r="E34" s="14">
        <v>258</v>
      </c>
      <c r="F34" s="15" t="s">
        <v>1115</v>
      </c>
      <c r="G34" s="14">
        <v>-77.84</v>
      </c>
      <c r="H34" s="14">
        <v>38.82</v>
      </c>
      <c r="I34">
        <v>334</v>
      </c>
      <c r="J34" t="s">
        <v>1112</v>
      </c>
      <c r="K34">
        <v>-77.64</v>
      </c>
      <c r="L34">
        <v>39.04</v>
      </c>
      <c r="M34" s="14" t="s">
        <v>24</v>
      </c>
      <c r="O34" s="14" t="s">
        <v>1113</v>
      </c>
      <c r="P34" s="14" t="s">
        <v>1404</v>
      </c>
      <c r="Q34" s="14" t="s">
        <v>611</v>
      </c>
      <c r="U34" s="14" t="s">
        <v>1114</v>
      </c>
      <c r="V34" s="14" t="s">
        <v>127</v>
      </c>
      <c r="W34" s="14" t="s">
        <v>128</v>
      </c>
    </row>
    <row r="35" spans="1:27" x14ac:dyDescent="0.35">
      <c r="A35" s="14">
        <v>65</v>
      </c>
      <c r="B35" s="20">
        <f>_xlfn.XLOOKUP(C35, csl_deposits!B:B, csl_deposits!A:A, "NA", 0,1)</f>
        <v>47</v>
      </c>
      <c r="C35" s="14" t="s">
        <v>746</v>
      </c>
      <c r="D35" s="14" t="s">
        <v>518</v>
      </c>
      <c r="E35" s="14">
        <v>269</v>
      </c>
      <c r="F35" s="14" t="s">
        <v>1141</v>
      </c>
      <c r="G35" s="14">
        <v>-5.7</v>
      </c>
      <c r="H35" s="14">
        <v>55.93</v>
      </c>
      <c r="I35">
        <v>332</v>
      </c>
      <c r="J35" t="s">
        <v>1122</v>
      </c>
      <c r="K35">
        <v>-7.14</v>
      </c>
      <c r="L35">
        <v>55.29</v>
      </c>
      <c r="M35" s="14" t="s">
        <v>24</v>
      </c>
      <c r="N35" s="14" t="s">
        <v>1123</v>
      </c>
      <c r="O35" s="14" t="s">
        <v>1122</v>
      </c>
      <c r="S35" s="14" t="s">
        <v>746</v>
      </c>
      <c r="T35" s="14" t="s">
        <v>1403</v>
      </c>
      <c r="U35" s="14" t="s">
        <v>1125</v>
      </c>
      <c r="V35" s="14" t="s">
        <v>212</v>
      </c>
      <c r="W35" s="14" t="s">
        <v>1126</v>
      </c>
      <c r="X35" s="14" t="s">
        <v>1127</v>
      </c>
      <c r="Y35" s="14" t="s">
        <v>1128</v>
      </c>
    </row>
    <row r="36" spans="1:27" x14ac:dyDescent="0.35">
      <c r="A36" s="14">
        <v>66</v>
      </c>
      <c r="B36" s="20">
        <f>_xlfn.XLOOKUP(C36, csl_deposits!B:B, csl_deposits!A:A, "NA", 0,1)</f>
        <v>35</v>
      </c>
      <c r="C36" s="14" t="s">
        <v>685</v>
      </c>
      <c r="D36" s="14" t="s">
        <v>518</v>
      </c>
      <c r="E36" s="14">
        <v>262</v>
      </c>
      <c r="F36" s="15" t="s">
        <v>1121</v>
      </c>
      <c r="G36" s="14">
        <v>-7.14</v>
      </c>
      <c r="H36" s="14">
        <v>55.29</v>
      </c>
      <c r="I36">
        <v>332</v>
      </c>
      <c r="J36" t="s">
        <v>1122</v>
      </c>
      <c r="K36">
        <v>-7.14</v>
      </c>
      <c r="L36">
        <v>55.29</v>
      </c>
      <c r="M36" s="14" t="s">
        <v>24</v>
      </c>
      <c r="N36" s="14" t="s">
        <v>1123</v>
      </c>
      <c r="O36" s="14" t="s">
        <v>1122</v>
      </c>
      <c r="S36" s="14" t="s">
        <v>685</v>
      </c>
      <c r="T36" s="14" t="s">
        <v>1124</v>
      </c>
      <c r="U36" s="14" t="s">
        <v>1125</v>
      </c>
      <c r="V36" s="14" t="s">
        <v>212</v>
      </c>
      <c r="W36" s="14" t="s">
        <v>1126</v>
      </c>
      <c r="X36" s="14" t="s">
        <v>1127</v>
      </c>
      <c r="Y36" s="14" t="s">
        <v>1128</v>
      </c>
    </row>
    <row r="37" spans="1:27" x14ac:dyDescent="0.35">
      <c r="A37" s="14">
        <v>68</v>
      </c>
      <c r="B37" s="20">
        <f>_xlfn.XLOOKUP(C37, csl_deposits!B:B, csl_deposits!A:A, "NA", 0,1)</f>
        <v>92</v>
      </c>
      <c r="C37" s="14" t="s">
        <v>1475</v>
      </c>
      <c r="D37" s="14" t="s">
        <v>518</v>
      </c>
      <c r="E37" s="14">
        <v>346</v>
      </c>
      <c r="F37" s="14" t="s">
        <v>1535</v>
      </c>
      <c r="G37" s="14">
        <v>116.78805555555556</v>
      </c>
      <c r="H37" s="14">
        <v>32.647222222222219</v>
      </c>
      <c r="I37">
        <v>348</v>
      </c>
      <c r="J37" t="s">
        <v>1476</v>
      </c>
      <c r="K37">
        <v>116.78805555555556</v>
      </c>
      <c r="L37">
        <v>32.647222222222219</v>
      </c>
      <c r="M37" s="14" t="s">
        <v>24</v>
      </c>
      <c r="Q37" s="14" t="s">
        <v>1477</v>
      </c>
      <c r="U37" s="14" t="s">
        <v>1473</v>
      </c>
      <c r="V37" s="14" t="s">
        <v>1481</v>
      </c>
    </row>
    <row r="38" spans="1:27" x14ac:dyDescent="0.35">
      <c r="A38" s="14">
        <v>69</v>
      </c>
      <c r="B38" s="20">
        <f>_xlfn.XLOOKUP(C38, csl_deposits!B:B, csl_deposits!A:A, "NA", 0,1)</f>
        <v>92</v>
      </c>
      <c r="C38" s="14" t="s">
        <v>1475</v>
      </c>
      <c r="D38" s="14" t="s">
        <v>518</v>
      </c>
      <c r="E38" s="14">
        <v>347</v>
      </c>
      <c r="F38" s="14" t="s">
        <v>1536</v>
      </c>
      <c r="G38" s="14">
        <v>115.92166666666667</v>
      </c>
      <c r="H38" s="14">
        <v>32.271944444444443</v>
      </c>
      <c r="I38">
        <v>348</v>
      </c>
      <c r="J38" t="s">
        <v>1476</v>
      </c>
      <c r="K38">
        <v>116.78805555555556</v>
      </c>
      <c r="L38">
        <v>32.647222222222219</v>
      </c>
      <c r="M38" s="14" t="s">
        <v>24</v>
      </c>
      <c r="Q38" s="14" t="s">
        <v>1477</v>
      </c>
      <c r="U38" s="14" t="s">
        <v>1473</v>
      </c>
    </row>
    <row r="39" spans="1:27" x14ac:dyDescent="0.35">
      <c r="A39" s="14">
        <v>70</v>
      </c>
      <c r="B39" s="20">
        <f>_xlfn.XLOOKUP(C39, csl_deposits!B:B, csl_deposits!A:A, "NA", 0,1)</f>
        <v>64</v>
      </c>
      <c r="C39" s="14" t="s">
        <v>817</v>
      </c>
      <c r="D39" s="14" t="s">
        <v>511</v>
      </c>
      <c r="E39" s="14">
        <v>353</v>
      </c>
      <c r="F39" s="14" t="s">
        <v>337</v>
      </c>
      <c r="G39" s="14">
        <v>-55.302906729658503</v>
      </c>
      <c r="H39" s="14">
        <v>-34.833299833175701</v>
      </c>
      <c r="I39">
        <v>267</v>
      </c>
      <c r="J39" t="s">
        <v>254</v>
      </c>
      <c r="K39">
        <v>-55.28</v>
      </c>
      <c r="L39">
        <v>-34.880000000000003</v>
      </c>
      <c r="M39" s="14" t="s">
        <v>24</v>
      </c>
      <c r="O39" s="14" t="s">
        <v>1132</v>
      </c>
      <c r="Q39" s="14" t="s">
        <v>337</v>
      </c>
      <c r="R39" s="14" t="s">
        <v>1497</v>
      </c>
      <c r="U39" s="14" t="s">
        <v>1495</v>
      </c>
    </row>
    <row r="40" spans="1:27" x14ac:dyDescent="0.35">
      <c r="A40" s="14">
        <v>74</v>
      </c>
      <c r="B40" s="20">
        <f>_xlfn.XLOOKUP(C40, csl_deposits!B:B, csl_deposits!A:A, "NA", 0,1)</f>
        <v>18</v>
      </c>
      <c r="C40" s="14" t="s">
        <v>603</v>
      </c>
      <c r="D40" s="14" t="s">
        <v>511</v>
      </c>
      <c r="E40" s="14">
        <v>101</v>
      </c>
      <c r="F40" s="15" t="s">
        <v>100</v>
      </c>
      <c r="G40" s="14">
        <v>111.21</v>
      </c>
      <c r="H40" s="14">
        <v>31.29</v>
      </c>
      <c r="I40">
        <v>32</v>
      </c>
      <c r="J40" t="s">
        <v>448</v>
      </c>
      <c r="K40">
        <v>111.16</v>
      </c>
      <c r="L40">
        <v>30.79</v>
      </c>
      <c r="M40" s="14" t="s">
        <v>1400</v>
      </c>
      <c r="Q40" s="14" t="s">
        <v>98</v>
      </c>
      <c r="S40" s="14" t="s">
        <v>1574</v>
      </c>
      <c r="U40" s="14" t="s">
        <v>467</v>
      </c>
      <c r="V40" s="14" t="s">
        <v>113</v>
      </c>
      <c r="W40" s="14" t="s">
        <v>101</v>
      </c>
      <c r="X40" s="14" t="s">
        <v>29</v>
      </c>
    </row>
    <row r="41" spans="1:27" x14ac:dyDescent="0.35">
      <c r="A41" s="14">
        <v>75</v>
      </c>
      <c r="B41" s="20">
        <f>_xlfn.XLOOKUP(C41, csl_deposits!B:B, csl_deposits!A:A, "NA", 0,1)</f>
        <v>40</v>
      </c>
      <c r="C41" s="14" t="s">
        <v>714</v>
      </c>
      <c r="D41" s="14" t="s">
        <v>511</v>
      </c>
      <c r="E41" s="14">
        <v>263</v>
      </c>
      <c r="F41" s="15" t="s">
        <v>1129</v>
      </c>
      <c r="G41" s="14">
        <v>58.87</v>
      </c>
      <c r="H41" s="14">
        <v>58.51</v>
      </c>
      <c r="I41">
        <v>166</v>
      </c>
      <c r="J41" t="s">
        <v>239</v>
      </c>
      <c r="K41">
        <v>0</v>
      </c>
      <c r="L41">
        <v>0</v>
      </c>
      <c r="M41" s="14" t="s">
        <v>24</v>
      </c>
      <c r="O41" s="14" t="s">
        <v>246</v>
      </c>
      <c r="Q41" s="14" t="s">
        <v>1130</v>
      </c>
      <c r="T41" s="14" t="s">
        <v>1575</v>
      </c>
      <c r="U41" s="14" t="s">
        <v>1090</v>
      </c>
      <c r="V41" s="14" t="s">
        <v>243</v>
      </c>
      <c r="W41" s="14" t="s">
        <v>244</v>
      </c>
    </row>
    <row r="42" spans="1:27" x14ac:dyDescent="0.35">
      <c r="A42" s="14">
        <v>76</v>
      </c>
      <c r="B42" s="20">
        <f>_xlfn.XLOOKUP(C42, csl_deposits!B:B, csl_deposits!A:A, "NA", 0,1)</f>
        <v>73</v>
      </c>
      <c r="C42" s="14" t="s">
        <v>855</v>
      </c>
      <c r="D42" s="14" t="s">
        <v>511</v>
      </c>
      <c r="E42" s="14">
        <v>263</v>
      </c>
      <c r="F42" s="14" t="s">
        <v>1129</v>
      </c>
      <c r="G42" s="14">
        <v>58.87</v>
      </c>
      <c r="H42" s="14">
        <v>58.51</v>
      </c>
      <c r="I42">
        <v>166</v>
      </c>
      <c r="J42" t="s">
        <v>239</v>
      </c>
      <c r="K42">
        <v>0</v>
      </c>
      <c r="L42">
        <v>0</v>
      </c>
      <c r="M42" s="14" t="s">
        <v>24</v>
      </c>
      <c r="O42" s="14" t="s">
        <v>241</v>
      </c>
      <c r="Q42" s="14" t="s">
        <v>1076</v>
      </c>
      <c r="U42" s="14" t="s">
        <v>1090</v>
      </c>
      <c r="V42" s="14" t="s">
        <v>243</v>
      </c>
      <c r="W42" s="14" t="s">
        <v>244</v>
      </c>
    </row>
    <row r="43" spans="1:27" x14ac:dyDescent="0.35">
      <c r="A43" s="14">
        <v>77</v>
      </c>
      <c r="B43" s="20">
        <f>_xlfn.XLOOKUP(C43, csl_deposits!B:B, csl_deposits!A:A, "NA", 0,1)</f>
        <v>76</v>
      </c>
      <c r="C43" s="14" t="s">
        <v>866</v>
      </c>
      <c r="D43" s="14" t="s">
        <v>511</v>
      </c>
      <c r="E43" s="14">
        <v>263</v>
      </c>
      <c r="F43" s="14" t="s">
        <v>1129</v>
      </c>
      <c r="G43" s="14">
        <v>58.87</v>
      </c>
      <c r="H43" s="14">
        <v>58.51</v>
      </c>
      <c r="I43">
        <v>166</v>
      </c>
      <c r="J43" t="s">
        <v>239</v>
      </c>
      <c r="K43">
        <v>0</v>
      </c>
      <c r="L43">
        <v>0</v>
      </c>
      <c r="M43" s="14" t="s">
        <v>24</v>
      </c>
      <c r="O43" s="14" t="s">
        <v>246</v>
      </c>
      <c r="Q43" s="14" t="s">
        <v>249</v>
      </c>
      <c r="U43" s="14" t="s">
        <v>1090</v>
      </c>
      <c r="V43" s="14" t="s">
        <v>243</v>
      </c>
      <c r="W43" s="14" t="s">
        <v>244</v>
      </c>
    </row>
    <row r="44" spans="1:27" x14ac:dyDescent="0.35">
      <c r="A44" s="14">
        <v>78</v>
      </c>
      <c r="B44" s="20">
        <f>_xlfn.XLOOKUP(C44, csl_deposits!B:B, csl_deposits!A:A, "NA", 0,1)</f>
        <v>68</v>
      </c>
      <c r="C44" s="14" t="s">
        <v>835</v>
      </c>
      <c r="D44" s="14" t="s">
        <v>511</v>
      </c>
      <c r="E44" s="14">
        <v>167</v>
      </c>
      <c r="F44" s="15" t="s">
        <v>339</v>
      </c>
      <c r="G44" s="14">
        <v>-56.513986013985999</v>
      </c>
      <c r="H44" s="14">
        <v>-13.801369863013599</v>
      </c>
      <c r="I44">
        <v>313</v>
      </c>
      <c r="J44" t="s">
        <v>462</v>
      </c>
      <c r="K44">
        <v>-56.513986013985999</v>
      </c>
      <c r="L44">
        <v>-13.801369863013599</v>
      </c>
      <c r="M44" s="14" t="s">
        <v>24</v>
      </c>
      <c r="Q44" s="14" t="s">
        <v>346</v>
      </c>
      <c r="S44" s="14" t="s">
        <v>347</v>
      </c>
      <c r="T44" s="14" t="s">
        <v>342</v>
      </c>
      <c r="U44" s="14" t="s">
        <v>343</v>
      </c>
      <c r="V44" s="14" t="s">
        <v>1146</v>
      </c>
      <c r="W44" s="14" t="s">
        <v>1147</v>
      </c>
      <c r="X44" s="14" t="s">
        <v>1148</v>
      </c>
      <c r="Y44" s="14" t="s">
        <v>1149</v>
      </c>
      <c r="Z44" s="14" t="s">
        <v>1150</v>
      </c>
      <c r="AA44" s="14" t="s">
        <v>345</v>
      </c>
    </row>
    <row r="45" spans="1:27" x14ac:dyDescent="0.35">
      <c r="A45" s="14">
        <v>79</v>
      </c>
      <c r="B45" s="20">
        <f>_xlfn.XLOOKUP(C45, csl_deposits!B:B, csl_deposits!A:A, "NA", 0,1)</f>
        <v>68</v>
      </c>
      <c r="C45" s="14" t="s">
        <v>835</v>
      </c>
      <c r="D45" s="14" t="s">
        <v>511</v>
      </c>
      <c r="E45" s="14">
        <v>272</v>
      </c>
      <c r="F45" s="15" t="s">
        <v>1145</v>
      </c>
      <c r="G45" s="14">
        <v>-55.67</v>
      </c>
      <c r="H45" s="14">
        <v>-14.54</v>
      </c>
      <c r="I45">
        <v>313</v>
      </c>
      <c r="J45" t="s">
        <v>462</v>
      </c>
      <c r="K45">
        <v>-56.513986013985999</v>
      </c>
      <c r="L45">
        <v>-13.801369863013599</v>
      </c>
      <c r="M45" s="14" t="s">
        <v>24</v>
      </c>
      <c r="Q45" s="14" t="s">
        <v>346</v>
      </c>
      <c r="S45" s="14" t="s">
        <v>347</v>
      </c>
      <c r="T45" s="14" t="s">
        <v>342</v>
      </c>
      <c r="U45" s="14" t="s">
        <v>343</v>
      </c>
      <c r="V45" s="14" t="s">
        <v>1146</v>
      </c>
      <c r="W45" s="14" t="s">
        <v>1147</v>
      </c>
      <c r="X45" s="14" t="s">
        <v>1148</v>
      </c>
      <c r="Y45" s="14" t="s">
        <v>1149</v>
      </c>
      <c r="Z45" s="14" t="s">
        <v>1150</v>
      </c>
      <c r="AA45" s="14" t="s">
        <v>345</v>
      </c>
    </row>
    <row r="46" spans="1:27" x14ac:dyDescent="0.35">
      <c r="A46" s="14">
        <v>80</v>
      </c>
      <c r="B46" s="20">
        <f>_xlfn.XLOOKUP(C46, csl_deposits!B:B, csl_deposits!A:A, "NA", 0,1)</f>
        <v>72</v>
      </c>
      <c r="C46" s="14" t="s">
        <v>351</v>
      </c>
      <c r="D46" s="14" t="s">
        <v>511</v>
      </c>
      <c r="E46" s="14">
        <v>153</v>
      </c>
      <c r="F46" s="14" t="s">
        <v>361</v>
      </c>
      <c r="G46" s="14">
        <v>-71.079626786237299</v>
      </c>
      <c r="H46" s="14">
        <v>42.301702080100299</v>
      </c>
      <c r="I46">
        <v>329</v>
      </c>
      <c r="J46" t="s">
        <v>459</v>
      </c>
      <c r="K46">
        <v>-71.079626786237299</v>
      </c>
      <c r="L46">
        <v>42.301702080100299</v>
      </c>
      <c r="M46" s="14" t="s">
        <v>24</v>
      </c>
      <c r="O46" s="14" t="s">
        <v>354</v>
      </c>
      <c r="Q46" s="14" t="s">
        <v>362</v>
      </c>
      <c r="R46" s="14" t="s">
        <v>363</v>
      </c>
      <c r="T46" s="14" t="s">
        <v>1153</v>
      </c>
      <c r="U46" s="14" t="s">
        <v>357</v>
      </c>
      <c r="V46" s="14" t="s">
        <v>1158</v>
      </c>
    </row>
    <row r="47" spans="1:27" x14ac:dyDescent="0.35">
      <c r="A47" s="14">
        <v>81</v>
      </c>
      <c r="B47" s="20">
        <f>_xlfn.XLOOKUP(C47, csl_deposits!B:B, csl_deposits!A:A, "NA", 0,1)</f>
        <v>72</v>
      </c>
      <c r="C47" s="14" t="s">
        <v>351</v>
      </c>
      <c r="D47" s="14" t="s">
        <v>511</v>
      </c>
      <c r="E47" s="14">
        <v>273</v>
      </c>
      <c r="F47" s="14" t="s">
        <v>1151</v>
      </c>
      <c r="G47" s="14">
        <v>-71.010000000000005</v>
      </c>
      <c r="H47" s="14">
        <v>42.3</v>
      </c>
      <c r="I47">
        <v>358</v>
      </c>
      <c r="J47" t="s">
        <v>1152</v>
      </c>
      <c r="K47">
        <v>-71.010000000000005</v>
      </c>
      <c r="L47">
        <v>42.3</v>
      </c>
      <c r="M47" s="14" t="s">
        <v>24</v>
      </c>
      <c r="O47" s="14" t="s">
        <v>354</v>
      </c>
      <c r="Q47" s="14" t="s">
        <v>362</v>
      </c>
      <c r="R47" s="14" t="s">
        <v>363</v>
      </c>
      <c r="T47" s="14" t="s">
        <v>1153</v>
      </c>
      <c r="U47" s="14" t="s">
        <v>1154</v>
      </c>
      <c r="V47" s="14" t="s">
        <v>1155</v>
      </c>
      <c r="W47" s="14" t="s">
        <v>1156</v>
      </c>
      <c r="X47" s="14" t="s">
        <v>1157</v>
      </c>
      <c r="Y47" s="14" t="s">
        <v>357</v>
      </c>
      <c r="Z47" s="14" t="s">
        <v>1158</v>
      </c>
      <c r="AA47" s="14" t="s">
        <v>1159</v>
      </c>
    </row>
    <row r="48" spans="1:27" x14ac:dyDescent="0.35">
      <c r="A48" s="14">
        <v>82</v>
      </c>
      <c r="B48" s="20">
        <f>_xlfn.XLOOKUP(C48, csl_deposits!B:B, csl_deposits!A:A, "NA", 0,1)</f>
        <v>85</v>
      </c>
      <c r="C48" s="14" t="s">
        <v>900</v>
      </c>
      <c r="D48" s="14" t="s">
        <v>511</v>
      </c>
      <c r="E48" s="14">
        <v>283</v>
      </c>
      <c r="F48" s="14" t="s">
        <v>1174</v>
      </c>
      <c r="G48" s="14">
        <v>96.1</v>
      </c>
      <c r="H48" s="14">
        <v>41.9</v>
      </c>
      <c r="I48">
        <v>360</v>
      </c>
      <c r="J48" t="s">
        <v>427</v>
      </c>
      <c r="K48">
        <v>96.1</v>
      </c>
      <c r="L48">
        <v>41.9</v>
      </c>
      <c r="M48" s="14" t="s">
        <v>24</v>
      </c>
      <c r="Q48" s="14" t="s">
        <v>435</v>
      </c>
      <c r="U48" s="14" t="s">
        <v>1173</v>
      </c>
      <c r="V48" s="14" t="s">
        <v>429</v>
      </c>
    </row>
    <row r="49" spans="1:26" x14ac:dyDescent="0.35">
      <c r="A49" s="14">
        <v>83</v>
      </c>
      <c r="B49" s="20">
        <f>_xlfn.XLOOKUP(C49, csl_deposits!B:B, csl_deposits!A:A, "NA", 0,1)</f>
        <v>85</v>
      </c>
      <c r="C49" s="14" t="s">
        <v>900</v>
      </c>
      <c r="D49" s="14" t="s">
        <v>511</v>
      </c>
      <c r="E49" s="14">
        <v>281</v>
      </c>
      <c r="F49" s="14" t="s">
        <v>437</v>
      </c>
      <c r="G49" s="14">
        <v>99.5</v>
      </c>
      <c r="H49" s="14">
        <v>41.25</v>
      </c>
      <c r="I49">
        <v>364</v>
      </c>
      <c r="J49" t="s">
        <v>433</v>
      </c>
      <c r="K49">
        <v>99.5</v>
      </c>
      <c r="L49">
        <v>41.25</v>
      </c>
      <c r="M49" s="14" t="s">
        <v>24</v>
      </c>
      <c r="Q49" s="14" t="s">
        <v>435</v>
      </c>
      <c r="U49" s="14" t="s">
        <v>1173</v>
      </c>
      <c r="V49" s="14" t="s">
        <v>429</v>
      </c>
    </row>
    <row r="50" spans="1:26" x14ac:dyDescent="0.35">
      <c r="A50" s="14">
        <v>84</v>
      </c>
      <c r="B50" s="20">
        <f>_xlfn.XLOOKUP(C50, csl_deposits!B:B, csl_deposits!A:A, "NA", 0,1)</f>
        <v>85</v>
      </c>
      <c r="C50" s="14" t="s">
        <v>900</v>
      </c>
      <c r="D50" s="14" t="s">
        <v>511</v>
      </c>
      <c r="E50" s="14">
        <v>282</v>
      </c>
      <c r="F50" s="14" t="s">
        <v>432</v>
      </c>
      <c r="G50" s="14">
        <v>96</v>
      </c>
      <c r="H50" s="14">
        <v>41.5</v>
      </c>
      <c r="I50">
        <v>364</v>
      </c>
      <c r="J50" t="s">
        <v>433</v>
      </c>
      <c r="K50">
        <v>99.5</v>
      </c>
      <c r="L50">
        <v>41.25</v>
      </c>
      <c r="M50" s="14" t="s">
        <v>24</v>
      </c>
      <c r="Q50" s="14" t="s">
        <v>435</v>
      </c>
      <c r="U50" s="14" t="s">
        <v>1173</v>
      </c>
      <c r="V50" s="14" t="s">
        <v>429</v>
      </c>
    </row>
    <row r="51" spans="1:26" x14ac:dyDescent="0.35">
      <c r="A51" s="14">
        <v>87</v>
      </c>
      <c r="B51" s="20">
        <f>_xlfn.XLOOKUP(C51, csl_deposits!B:B, csl_deposits!A:A, "NA", 0,1)</f>
        <v>27</v>
      </c>
      <c r="C51" s="14" t="s">
        <v>647</v>
      </c>
      <c r="D51" s="14" t="s">
        <v>511</v>
      </c>
      <c r="E51" s="14">
        <v>361</v>
      </c>
      <c r="F51" s="14" t="s">
        <v>1578</v>
      </c>
      <c r="G51" s="14">
        <v>24.356557644520599</v>
      </c>
      <c r="H51" s="14">
        <v>52.212442785414602</v>
      </c>
      <c r="I51">
        <v>361</v>
      </c>
      <c r="J51" t="s">
        <v>1578</v>
      </c>
      <c r="K51">
        <v>24.356557644520599</v>
      </c>
      <c r="L51">
        <v>52.212442785414602</v>
      </c>
      <c r="M51" s="14" t="s">
        <v>24</v>
      </c>
      <c r="O51" s="14" t="s">
        <v>1579</v>
      </c>
      <c r="Q51" s="14" t="s">
        <v>1580</v>
      </c>
      <c r="T51" s="14" t="s">
        <v>1581</v>
      </c>
      <c r="U51" s="14" t="s">
        <v>494</v>
      </c>
      <c r="V51" s="14" t="s">
        <v>36</v>
      </c>
      <c r="W51" s="14" t="s">
        <v>35</v>
      </c>
    </row>
    <row r="52" spans="1:26" x14ac:dyDescent="0.35">
      <c r="A52" s="14">
        <v>88</v>
      </c>
      <c r="B52" s="20">
        <f>_xlfn.XLOOKUP(C52, csl_deposits!B:B, csl_deposits!A:A, "NA", 0,1)</f>
        <v>93</v>
      </c>
      <c r="C52" s="14" t="s">
        <v>1557</v>
      </c>
      <c r="D52" s="14" t="s">
        <v>511</v>
      </c>
      <c r="E52" s="14">
        <v>325</v>
      </c>
      <c r="F52" s="14" t="s">
        <v>456</v>
      </c>
      <c r="G52" s="14">
        <v>-53.578495423021003</v>
      </c>
      <c r="H52" s="14">
        <v>48.357597752424802</v>
      </c>
      <c r="I52">
        <v>325</v>
      </c>
      <c r="J52" t="s">
        <v>456</v>
      </c>
      <c r="K52">
        <v>-53.578495423021003</v>
      </c>
      <c r="L52">
        <v>48.357597752424802</v>
      </c>
      <c r="M52" s="14" t="s">
        <v>24</v>
      </c>
      <c r="O52" s="14" t="s">
        <v>407</v>
      </c>
      <c r="Q52" s="14" t="s">
        <v>408</v>
      </c>
      <c r="S52" s="14" t="s">
        <v>1528</v>
      </c>
      <c r="U52" s="14" t="s">
        <v>1548</v>
      </c>
      <c r="V52" s="14" t="s">
        <v>1549</v>
      </c>
    </row>
    <row r="53" spans="1:26" x14ac:dyDescent="0.35">
      <c r="A53" s="14">
        <v>89</v>
      </c>
      <c r="B53" s="20">
        <f>_xlfn.XLOOKUP(C53, csl_deposits!B:B, csl_deposits!A:A, "NA", 0,1)</f>
        <v>89</v>
      </c>
      <c r="C53" s="14" t="s">
        <v>915</v>
      </c>
      <c r="D53" s="14" t="s">
        <v>511</v>
      </c>
      <c r="E53" s="14">
        <v>337</v>
      </c>
      <c r="F53" s="14" t="s">
        <v>171</v>
      </c>
      <c r="G53" s="14">
        <v>23.338792482180001</v>
      </c>
      <c r="H53" s="14">
        <v>51.607847863362203</v>
      </c>
      <c r="I53">
        <v>341</v>
      </c>
      <c r="J53" t="s">
        <v>1405</v>
      </c>
      <c r="K53">
        <v>26.870335009851701</v>
      </c>
      <c r="L53">
        <v>50.203899252219898</v>
      </c>
      <c r="M53" s="14" t="s">
        <v>24</v>
      </c>
      <c r="O53" s="14" t="s">
        <v>1582</v>
      </c>
      <c r="Q53" s="14" t="s">
        <v>1583</v>
      </c>
      <c r="U53" s="14" t="s">
        <v>36</v>
      </c>
      <c r="V53" s="14" t="s">
        <v>35</v>
      </c>
      <c r="W53" s="14" t="s">
        <v>37</v>
      </c>
    </row>
    <row r="54" spans="1:26" x14ac:dyDescent="0.35">
      <c r="A54" s="14">
        <v>90</v>
      </c>
      <c r="B54" s="20">
        <f>_xlfn.XLOOKUP(C54, csl_deposits!B:B, csl_deposits!A:A, "NA", 0,1)</f>
        <v>36</v>
      </c>
      <c r="C54" s="14" t="s">
        <v>693</v>
      </c>
      <c r="D54" s="14" t="s">
        <v>511</v>
      </c>
      <c r="E54" s="14">
        <v>362</v>
      </c>
      <c r="F54" s="14" t="s">
        <v>1585</v>
      </c>
      <c r="G54" s="14">
        <v>-48.666699999999999</v>
      </c>
      <c r="H54" s="14">
        <v>-24.583300000000001</v>
      </c>
      <c r="I54">
        <v>362</v>
      </c>
      <c r="J54" t="s">
        <v>1585</v>
      </c>
      <c r="K54">
        <v>-48.666699999999999</v>
      </c>
      <c r="L54">
        <v>-24.583300000000001</v>
      </c>
      <c r="M54" s="14" t="s">
        <v>24</v>
      </c>
      <c r="N54" s="14" t="s">
        <v>1586</v>
      </c>
      <c r="O54" s="14" t="s">
        <v>215</v>
      </c>
      <c r="P54" s="14" t="s">
        <v>216</v>
      </c>
      <c r="Q54" s="14" t="s">
        <v>220</v>
      </c>
      <c r="U54" s="14" t="s">
        <v>218</v>
      </c>
    </row>
    <row r="55" spans="1:26" x14ac:dyDescent="0.35">
      <c r="A55" s="14">
        <v>91</v>
      </c>
      <c r="B55" s="20">
        <f>_xlfn.XLOOKUP(C55, csl_deposits!B:B, csl_deposits!A:A, "NA", 0,1)</f>
        <v>75</v>
      </c>
      <c r="C55" s="14" t="s">
        <v>863</v>
      </c>
      <c r="D55" s="14" t="s">
        <v>518</v>
      </c>
      <c r="E55" s="14">
        <v>274</v>
      </c>
      <c r="F55" s="14" t="s">
        <v>1160</v>
      </c>
      <c r="G55" s="14">
        <v>80.97</v>
      </c>
      <c r="H55" s="14">
        <v>44.34</v>
      </c>
      <c r="I55">
        <v>363</v>
      </c>
      <c r="J55" t="s">
        <v>368</v>
      </c>
      <c r="K55">
        <v>80.97</v>
      </c>
      <c r="L55">
        <v>44.34</v>
      </c>
      <c r="M55" s="14" t="s">
        <v>24</v>
      </c>
      <c r="O55" s="14" t="s">
        <v>1161</v>
      </c>
      <c r="Q55" s="14" t="s">
        <v>369</v>
      </c>
      <c r="T55" s="14" t="s">
        <v>1162</v>
      </c>
      <c r="U55" s="14" t="s">
        <v>1163</v>
      </c>
      <c r="V55" s="14" t="s">
        <v>1164</v>
      </c>
      <c r="W55" s="14" t="s">
        <v>1165</v>
      </c>
      <c r="X55" s="14" t="s">
        <v>371</v>
      </c>
    </row>
    <row r="56" spans="1:26" x14ac:dyDescent="0.35">
      <c r="A56" s="14">
        <v>92</v>
      </c>
      <c r="B56" s="20">
        <f>_xlfn.XLOOKUP(C56, csl_deposits!B:B, csl_deposits!A:A, "NA", 0,1)</f>
        <v>18</v>
      </c>
      <c r="C56" s="14" t="s">
        <v>603</v>
      </c>
      <c r="D56" s="14" t="s">
        <v>511</v>
      </c>
      <c r="E56" s="14">
        <v>87</v>
      </c>
      <c r="F56" s="15" t="s">
        <v>103</v>
      </c>
      <c r="G56" s="14">
        <v>111.05516944</v>
      </c>
      <c r="H56" s="14">
        <v>30.804180559999999</v>
      </c>
      <c r="I56">
        <v>32</v>
      </c>
      <c r="J56" t="s">
        <v>448</v>
      </c>
      <c r="K56">
        <v>111.16</v>
      </c>
      <c r="L56">
        <v>30.79</v>
      </c>
      <c r="M56" s="14" t="s">
        <v>1400</v>
      </c>
      <c r="Q56" s="14" t="s">
        <v>98</v>
      </c>
      <c r="U56" s="14" t="s">
        <v>101</v>
      </c>
      <c r="V56" s="14" t="s">
        <v>29</v>
      </c>
    </row>
    <row r="57" spans="1:26" x14ac:dyDescent="0.35">
      <c r="A57">
        <v>111</v>
      </c>
      <c r="B57">
        <f>_xlfn.XLOOKUP(C57, [1]csl_deposits!B:B, [1]csl_deposits!A:A, "NA", 0,1)</f>
        <v>20</v>
      </c>
      <c r="C57" t="s">
        <v>606</v>
      </c>
      <c r="D57" t="s">
        <v>518</v>
      </c>
      <c r="E57">
        <v>367</v>
      </c>
      <c r="F57" t="s">
        <v>1668</v>
      </c>
      <c r="G57">
        <v>126.7</v>
      </c>
      <c r="H57">
        <v>-18.7</v>
      </c>
      <c r="I57">
        <v>367</v>
      </c>
      <c r="J57" t="s">
        <v>1668</v>
      </c>
      <c r="K57">
        <v>126.7</v>
      </c>
      <c r="L57">
        <v>-18.7</v>
      </c>
      <c r="M57" t="s">
        <v>24</v>
      </c>
      <c r="O57" t="s">
        <v>1669</v>
      </c>
      <c r="P57"/>
      <c r="Q57" t="s">
        <v>610</v>
      </c>
      <c r="U57" t="s">
        <v>1666</v>
      </c>
      <c r="X57"/>
      <c r="Y57"/>
      <c r="Z57"/>
    </row>
    <row r="58" spans="1:26" x14ac:dyDescent="0.35">
      <c r="A58" s="14">
        <v>112</v>
      </c>
      <c r="B58">
        <f>_xlfn.XLOOKUP(C58, [1]csl_deposits!B:B, [1]csl_deposits!A:A, "NA", 0,1)</f>
        <v>22</v>
      </c>
      <c r="C58" s="14" t="s">
        <v>618</v>
      </c>
      <c r="D58" s="14" t="s">
        <v>518</v>
      </c>
      <c r="E58" s="14">
        <v>368</v>
      </c>
      <c r="F58" s="14" t="s">
        <v>1670</v>
      </c>
      <c r="G58" s="14">
        <v>56</v>
      </c>
      <c r="H58" s="14">
        <v>32</v>
      </c>
      <c r="I58" s="14">
        <v>368</v>
      </c>
      <c r="J58" s="14" t="s">
        <v>1670</v>
      </c>
      <c r="K58" s="14">
        <v>56</v>
      </c>
      <c r="L58" s="14">
        <v>32</v>
      </c>
      <c r="M58" s="14" t="s">
        <v>24</v>
      </c>
      <c r="Q58" s="14" t="s">
        <v>1239</v>
      </c>
      <c r="U58" s="14" t="s">
        <v>1240</v>
      </c>
    </row>
    <row r="59" spans="1:26" x14ac:dyDescent="0.35">
      <c r="A59" s="14">
        <v>113</v>
      </c>
      <c r="B59">
        <f>_xlfn.XLOOKUP(C59, [1]csl_deposits!B:B, [1]csl_deposits!A:A, "NA", 0,1)</f>
        <v>66</v>
      </c>
      <c r="C59" s="14" t="s">
        <v>826</v>
      </c>
      <c r="D59" s="14" t="s">
        <v>518</v>
      </c>
      <c r="E59" s="14">
        <v>369</v>
      </c>
      <c r="F59" s="14" t="s">
        <v>1671</v>
      </c>
      <c r="G59" s="14">
        <v>69</v>
      </c>
      <c r="H59" s="14">
        <v>44</v>
      </c>
      <c r="I59" s="14">
        <v>369</v>
      </c>
      <c r="J59" s="14" t="s">
        <v>1671</v>
      </c>
      <c r="K59" s="14">
        <v>69</v>
      </c>
      <c r="L59" s="14">
        <v>44</v>
      </c>
      <c r="M59" s="14" t="s">
        <v>24</v>
      </c>
      <c r="O59" s="14" t="s">
        <v>1673</v>
      </c>
      <c r="Q59" s="14" t="s">
        <v>1674</v>
      </c>
      <c r="U59" s="14" t="s">
        <v>22</v>
      </c>
    </row>
    <row r="60" spans="1:26" x14ac:dyDescent="0.35">
      <c r="A60" s="14">
        <v>114</v>
      </c>
      <c r="B60">
        <f>_xlfn.XLOOKUP(C60, [1]csl_deposits!B:B, [1]csl_deposits!A:A, "NA", 0,1)</f>
        <v>37</v>
      </c>
      <c r="C60" s="14" t="s">
        <v>698</v>
      </c>
      <c r="D60" s="14" t="s">
        <v>518</v>
      </c>
      <c r="E60" s="14">
        <v>369</v>
      </c>
      <c r="F60" s="14" t="s">
        <v>1672</v>
      </c>
      <c r="G60" s="14">
        <v>69</v>
      </c>
      <c r="H60" s="14">
        <v>44</v>
      </c>
      <c r="I60" s="14">
        <v>369</v>
      </c>
      <c r="J60" s="14" t="s">
        <v>1672</v>
      </c>
      <c r="K60" s="14">
        <v>69</v>
      </c>
      <c r="L60" s="14">
        <v>44</v>
      </c>
      <c r="M60" s="14" t="s">
        <v>24</v>
      </c>
      <c r="O60" s="14" t="s">
        <v>1675</v>
      </c>
      <c r="Q60" s="14" t="s">
        <v>1676</v>
      </c>
      <c r="S60" s="14" t="s">
        <v>698</v>
      </c>
      <c r="U60" s="14" t="s">
        <v>22</v>
      </c>
    </row>
  </sheetData>
  <autoFilter ref="A1:AB56" xr:uid="{443DAF6F-187D-4539-BB4B-486AB5925EFB}">
    <sortState xmlns:xlrd2="http://schemas.microsoft.com/office/spreadsheetml/2017/richdata2" ref="A2:AB56">
      <sortCondition ref="A1:A56"/>
    </sortState>
  </autoFilter>
  <phoneticPr fontId="2" type="noConversion"/>
  <conditionalFormatting sqref="A1:XFD1048576">
    <cfRule type="containsBlanks" dxfId="6" priority="5">
      <formula>LEN(TRIM(A1))=0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75E92-0EB8-466D-9C4C-61C8E273062A}">
  <dimension ref="A1:AV92"/>
  <sheetViews>
    <sheetView zoomScale="70" zoomScaleNormal="70" workbookViewId="0">
      <pane xSplit="2" ySplit="1" topLeftCell="C17" activePane="bottomRight" state="frozen"/>
      <selection pane="topRight" activeCell="C1" sqref="C1"/>
      <selection pane="bottomLeft" activeCell="A2" sqref="A2"/>
      <selection pane="bottomRight" sqref="A1:XFD1048576"/>
    </sheetView>
  </sheetViews>
  <sheetFormatPr defaultColWidth="25.08984375" defaultRowHeight="14.5" x14ac:dyDescent="0.35"/>
  <cols>
    <col min="1" max="1" width="12.26953125" bestFit="1" customWidth="1"/>
    <col min="2" max="2" width="28.08984375" bestFit="1" customWidth="1"/>
    <col min="3" max="3" width="36.08984375" customWidth="1"/>
    <col min="4" max="4" width="14.453125" bestFit="1" customWidth="1"/>
    <col min="5" max="5" width="16.6328125" bestFit="1" customWidth="1"/>
    <col min="6" max="7" width="16.6328125" style="31" customWidth="1"/>
    <col min="8" max="8" width="15.54296875" bestFit="1" customWidth="1"/>
    <col min="9" max="9" width="33.1796875" customWidth="1"/>
    <col min="10" max="10" width="22.36328125" bestFit="1" customWidth="1"/>
    <col min="11" max="11" width="28.90625" bestFit="1" customWidth="1"/>
    <col min="12" max="12" width="22.36328125" bestFit="1" customWidth="1"/>
    <col min="13" max="13" width="28.90625" bestFit="1" customWidth="1"/>
    <col min="14" max="14" width="26.453125" bestFit="1" customWidth="1"/>
  </cols>
  <sheetData>
    <row r="1" spans="1:48" s="35" customFormat="1" x14ac:dyDescent="0.35">
      <c r="A1" s="32" t="s">
        <v>929</v>
      </c>
      <c r="B1" s="32" t="s">
        <v>927</v>
      </c>
      <c r="C1" s="32" t="s">
        <v>943</v>
      </c>
      <c r="D1" s="32" t="s">
        <v>944</v>
      </c>
      <c r="E1" s="32" t="s">
        <v>945</v>
      </c>
      <c r="F1" s="33" t="s">
        <v>1664</v>
      </c>
      <c r="G1" s="33" t="s">
        <v>1665</v>
      </c>
      <c r="H1" s="32" t="s">
        <v>946</v>
      </c>
      <c r="I1" s="32" t="s">
        <v>947</v>
      </c>
      <c r="J1" s="32" t="s">
        <v>1412</v>
      </c>
      <c r="K1" s="32" t="s">
        <v>1430</v>
      </c>
      <c r="L1" s="32" t="s">
        <v>1411</v>
      </c>
      <c r="M1" s="32" t="s">
        <v>1423</v>
      </c>
      <c r="N1" s="32" t="s">
        <v>1410</v>
      </c>
      <c r="O1" s="32" t="s">
        <v>1424</v>
      </c>
      <c r="P1" s="32" t="s">
        <v>948</v>
      </c>
      <c r="Q1" s="32" t="s">
        <v>949</v>
      </c>
      <c r="R1" s="34" t="s">
        <v>950</v>
      </c>
      <c r="S1" s="34" t="s">
        <v>951</v>
      </c>
      <c r="T1" s="34" t="s">
        <v>952</v>
      </c>
      <c r="U1" s="34" t="s">
        <v>953</v>
      </c>
      <c r="V1" s="32" t="s">
        <v>954</v>
      </c>
      <c r="W1" s="32" t="s">
        <v>955</v>
      </c>
      <c r="X1" s="32" t="s">
        <v>956</v>
      </c>
      <c r="Y1" s="32" t="s">
        <v>957</v>
      </c>
      <c r="Z1" s="32" t="s">
        <v>958</v>
      </c>
      <c r="AA1" s="32" t="s">
        <v>959</v>
      </c>
      <c r="AB1" s="32" t="s">
        <v>960</v>
      </c>
      <c r="AC1" s="32" t="s">
        <v>961</v>
      </c>
      <c r="AD1" s="32" t="s">
        <v>962</v>
      </c>
      <c r="AE1" s="32" t="s">
        <v>963</v>
      </c>
      <c r="AF1" s="32" t="s">
        <v>964</v>
      </c>
      <c r="AG1" s="32" t="s">
        <v>965</v>
      </c>
      <c r="AH1" s="32" t="s">
        <v>966</v>
      </c>
      <c r="AI1" s="32" t="s">
        <v>967</v>
      </c>
      <c r="AJ1" s="32" t="s">
        <v>968</v>
      </c>
      <c r="AK1" s="32" t="s">
        <v>969</v>
      </c>
      <c r="AL1" s="32" t="s">
        <v>970</v>
      </c>
      <c r="AM1" s="32" t="s">
        <v>971</v>
      </c>
      <c r="AN1" s="32" t="s">
        <v>972</v>
      </c>
      <c r="AO1" s="32" t="s">
        <v>973</v>
      </c>
      <c r="AP1" s="32" t="s">
        <v>974</v>
      </c>
      <c r="AQ1" s="32" t="s">
        <v>975</v>
      </c>
      <c r="AR1" s="32" t="s">
        <v>976</v>
      </c>
      <c r="AS1" s="32" t="s">
        <v>977</v>
      </c>
      <c r="AT1" s="32" t="s">
        <v>978</v>
      </c>
      <c r="AU1" s="32" t="s">
        <v>979</v>
      </c>
      <c r="AV1" s="32" t="s">
        <v>980</v>
      </c>
    </row>
    <row r="2" spans="1:48" x14ac:dyDescent="0.35">
      <c r="A2">
        <v>8</v>
      </c>
      <c r="B2" t="s">
        <v>553</v>
      </c>
      <c r="C2" t="s">
        <v>554</v>
      </c>
      <c r="D2" s="8" t="s">
        <v>924</v>
      </c>
      <c r="E2" s="8" t="s">
        <v>453</v>
      </c>
      <c r="F2" s="30"/>
      <c r="G2" s="30"/>
      <c r="H2" t="s">
        <v>555</v>
      </c>
      <c r="I2" t="s">
        <v>1533</v>
      </c>
      <c r="J2" s="9">
        <v>1</v>
      </c>
      <c r="K2" s="8" t="s">
        <v>164</v>
      </c>
      <c r="L2" s="9">
        <v>1</v>
      </c>
      <c r="M2" s="8" t="s">
        <v>164</v>
      </c>
      <c r="N2" s="9">
        <v>1</v>
      </c>
      <c r="O2" s="10"/>
      <c r="P2" s="8" t="s">
        <v>512</v>
      </c>
      <c r="Q2" s="8" t="s">
        <v>556</v>
      </c>
      <c r="R2" s="11"/>
      <c r="S2" s="11"/>
      <c r="T2" s="11">
        <v>485.4</v>
      </c>
      <c r="U2" s="11">
        <v>1.9</v>
      </c>
      <c r="V2" s="10" t="s">
        <v>557</v>
      </c>
      <c r="W2" s="10"/>
      <c r="X2" t="s">
        <v>515</v>
      </c>
      <c r="AC2" t="s">
        <v>512</v>
      </c>
      <c r="AD2" t="s">
        <v>521</v>
      </c>
      <c r="AE2">
        <v>555</v>
      </c>
      <c r="AF2">
        <v>549</v>
      </c>
      <c r="AG2" t="s">
        <v>522</v>
      </c>
      <c r="AH2" t="s">
        <v>515</v>
      </c>
      <c r="AP2" t="s">
        <v>512</v>
      </c>
      <c r="AQ2">
        <v>37</v>
      </c>
      <c r="AR2" t="s">
        <v>558</v>
      </c>
      <c r="AS2" t="s">
        <v>521</v>
      </c>
      <c r="AT2">
        <v>562</v>
      </c>
      <c r="AU2">
        <v>551</v>
      </c>
    </row>
    <row r="3" spans="1:48" x14ac:dyDescent="0.35">
      <c r="A3">
        <v>29</v>
      </c>
      <c r="B3" t="s">
        <v>653</v>
      </c>
      <c r="C3" t="s">
        <v>654</v>
      </c>
      <c r="D3" s="8" t="s">
        <v>924</v>
      </c>
      <c r="E3" s="8" t="s">
        <v>446</v>
      </c>
      <c r="F3" s="30"/>
      <c r="G3" s="30"/>
      <c r="H3" t="s">
        <v>555</v>
      </c>
      <c r="I3" t="s">
        <v>655</v>
      </c>
      <c r="J3" s="4">
        <v>2</v>
      </c>
      <c r="K3" s="8" t="s">
        <v>1433</v>
      </c>
      <c r="L3" s="4">
        <v>3</v>
      </c>
      <c r="M3" s="8" t="s">
        <v>164</v>
      </c>
      <c r="N3" s="4">
        <v>3</v>
      </c>
      <c r="O3" s="10"/>
      <c r="P3" t="s">
        <v>512</v>
      </c>
      <c r="Q3" t="s">
        <v>656</v>
      </c>
      <c r="R3" s="5">
        <v>619</v>
      </c>
      <c r="S3" s="5">
        <v>6</v>
      </c>
      <c r="T3" s="5">
        <v>501</v>
      </c>
      <c r="U3" s="5">
        <v>10</v>
      </c>
      <c r="V3" t="s">
        <v>657</v>
      </c>
      <c r="W3" s="10"/>
      <c r="X3" t="s">
        <v>515</v>
      </c>
      <c r="AC3" t="s">
        <v>515</v>
      </c>
      <c r="AH3" t="s">
        <v>512</v>
      </c>
      <c r="AI3">
        <v>9</v>
      </c>
      <c r="AJ3">
        <v>595</v>
      </c>
      <c r="AK3">
        <v>12</v>
      </c>
      <c r="AL3">
        <v>555</v>
      </c>
      <c r="AM3">
        <v>5</v>
      </c>
      <c r="AN3" t="s">
        <v>523</v>
      </c>
      <c r="AO3" t="s">
        <v>658</v>
      </c>
      <c r="AP3" t="s">
        <v>512</v>
      </c>
      <c r="AQ3">
        <v>40</v>
      </c>
      <c r="AR3" t="s">
        <v>525</v>
      </c>
      <c r="AS3" t="s">
        <v>562</v>
      </c>
      <c r="AT3">
        <v>581</v>
      </c>
      <c r="AU3">
        <v>579</v>
      </c>
      <c r="AV3" t="s">
        <v>659</v>
      </c>
    </row>
    <row r="4" spans="1:48" x14ac:dyDescent="0.35">
      <c r="A4">
        <v>35</v>
      </c>
      <c r="B4" t="s">
        <v>685</v>
      </c>
      <c r="C4" t="s">
        <v>686</v>
      </c>
      <c r="D4" s="8" t="s">
        <v>924</v>
      </c>
      <c r="E4" s="8" t="s">
        <v>453</v>
      </c>
      <c r="F4" s="30">
        <v>-7.14</v>
      </c>
      <c r="G4" s="30">
        <v>55.29</v>
      </c>
      <c r="H4" t="s">
        <v>555</v>
      </c>
      <c r="I4" t="s">
        <v>688</v>
      </c>
      <c r="J4" s="4">
        <v>3</v>
      </c>
      <c r="K4" t="s">
        <v>1433</v>
      </c>
      <c r="L4" s="4">
        <v>0</v>
      </c>
      <c r="M4" t="s">
        <v>687</v>
      </c>
      <c r="N4" s="4">
        <v>0</v>
      </c>
      <c r="O4" t="s">
        <v>687</v>
      </c>
      <c r="P4" t="s">
        <v>512</v>
      </c>
      <c r="Q4" t="s">
        <v>689</v>
      </c>
      <c r="R4" s="5"/>
      <c r="S4" s="5"/>
      <c r="T4" s="5"/>
      <c r="U4" s="5"/>
      <c r="V4" t="s">
        <v>690</v>
      </c>
      <c r="W4" s="10"/>
      <c r="X4" t="s">
        <v>515</v>
      </c>
      <c r="AC4" t="s">
        <v>515</v>
      </c>
      <c r="AH4" t="s">
        <v>512</v>
      </c>
      <c r="AI4">
        <v>22</v>
      </c>
      <c r="AJ4">
        <v>590</v>
      </c>
      <c r="AL4">
        <v>570</v>
      </c>
      <c r="AN4" t="s">
        <v>523</v>
      </c>
      <c r="AO4" t="s">
        <v>691</v>
      </c>
      <c r="AP4" t="s">
        <v>512</v>
      </c>
      <c r="AQ4">
        <v>42</v>
      </c>
      <c r="AR4" t="s">
        <v>538</v>
      </c>
      <c r="AS4" t="s">
        <v>562</v>
      </c>
      <c r="AT4">
        <v>581</v>
      </c>
      <c r="AU4">
        <v>579</v>
      </c>
      <c r="AV4" t="s">
        <v>692</v>
      </c>
    </row>
    <row r="5" spans="1:48" x14ac:dyDescent="0.35">
      <c r="A5">
        <v>47</v>
      </c>
      <c r="B5" t="s">
        <v>746</v>
      </c>
      <c r="C5" t="s">
        <v>747</v>
      </c>
      <c r="D5" s="8" t="s">
        <v>924</v>
      </c>
      <c r="E5" s="8" t="s">
        <v>453</v>
      </c>
      <c r="F5" s="30">
        <v>-5.7</v>
      </c>
      <c r="G5" s="30">
        <v>55.93</v>
      </c>
      <c r="H5" s="8" t="s">
        <v>555</v>
      </c>
      <c r="I5" s="8" t="s">
        <v>748</v>
      </c>
      <c r="J5" s="4">
        <v>2</v>
      </c>
      <c r="K5" s="8" t="s">
        <v>1433</v>
      </c>
      <c r="L5" s="4">
        <v>2</v>
      </c>
      <c r="M5" s="8" t="s">
        <v>164</v>
      </c>
      <c r="N5" s="4">
        <v>2</v>
      </c>
      <c r="O5" s="10"/>
      <c r="P5" t="s">
        <v>512</v>
      </c>
      <c r="Q5" t="s">
        <v>749</v>
      </c>
      <c r="R5" s="5">
        <v>601</v>
      </c>
      <c r="S5" s="5">
        <v>4</v>
      </c>
      <c r="T5" s="5">
        <v>485.4</v>
      </c>
      <c r="U5" s="5">
        <v>1.9</v>
      </c>
      <c r="V5" t="s">
        <v>750</v>
      </c>
      <c r="W5" s="10"/>
      <c r="X5" t="s">
        <v>512</v>
      </c>
      <c r="Y5" t="s">
        <v>751</v>
      </c>
      <c r="Z5">
        <v>595</v>
      </c>
      <c r="AB5" t="s">
        <v>752</v>
      </c>
      <c r="AC5" t="s">
        <v>515</v>
      </c>
      <c r="AH5" t="s">
        <v>512</v>
      </c>
      <c r="AI5">
        <v>22</v>
      </c>
      <c r="AJ5">
        <v>590</v>
      </c>
      <c r="AL5">
        <v>570</v>
      </c>
      <c r="AN5" t="s">
        <v>523</v>
      </c>
      <c r="AO5" t="s">
        <v>691</v>
      </c>
      <c r="AP5" t="s">
        <v>512</v>
      </c>
      <c r="AQ5">
        <v>42</v>
      </c>
      <c r="AR5" t="s">
        <v>538</v>
      </c>
      <c r="AS5" t="s">
        <v>562</v>
      </c>
      <c r="AT5">
        <v>581</v>
      </c>
      <c r="AU5">
        <v>579</v>
      </c>
      <c r="AV5" t="s">
        <v>692</v>
      </c>
    </row>
    <row r="6" spans="1:48" x14ac:dyDescent="0.35">
      <c r="A6">
        <v>57</v>
      </c>
      <c r="B6" s="8" t="s">
        <v>788</v>
      </c>
      <c r="C6" s="8"/>
      <c r="D6" s="8" t="s">
        <v>924</v>
      </c>
      <c r="E6" s="8" t="s">
        <v>453</v>
      </c>
      <c r="F6" s="30"/>
      <c r="G6" s="30"/>
      <c r="H6" s="8" t="s">
        <v>555</v>
      </c>
      <c r="I6" s="8" t="s">
        <v>789</v>
      </c>
      <c r="J6" s="9">
        <v>3</v>
      </c>
      <c r="K6" s="8" t="s">
        <v>164</v>
      </c>
      <c r="L6" s="9">
        <v>3</v>
      </c>
      <c r="M6" s="8" t="s">
        <v>164</v>
      </c>
      <c r="N6" s="9">
        <v>3</v>
      </c>
      <c r="O6" s="10"/>
      <c r="P6" s="8" t="s">
        <v>512</v>
      </c>
      <c r="Q6" s="8" t="s">
        <v>790</v>
      </c>
      <c r="R6" s="11"/>
      <c r="S6" s="11"/>
      <c r="T6" s="11">
        <v>509</v>
      </c>
      <c r="U6" s="11">
        <v>5</v>
      </c>
      <c r="V6" s="10" t="s">
        <v>791</v>
      </c>
      <c r="W6" s="10"/>
      <c r="X6" s="8" t="s">
        <v>515</v>
      </c>
      <c r="Y6" s="8"/>
      <c r="Z6" s="8"/>
      <c r="AA6" s="8"/>
      <c r="AB6" s="8"/>
      <c r="AC6" s="8" t="s">
        <v>515</v>
      </c>
      <c r="AD6" s="12"/>
      <c r="AE6" s="12"/>
      <c r="AF6" s="12"/>
      <c r="AG6" s="12"/>
      <c r="AH6" t="s">
        <v>515</v>
      </c>
      <c r="AP6" t="s">
        <v>515</v>
      </c>
    </row>
    <row r="7" spans="1:48" x14ac:dyDescent="0.35">
      <c r="A7">
        <v>65</v>
      </c>
      <c r="B7" t="s">
        <v>821</v>
      </c>
      <c r="D7" s="8" t="s">
        <v>924</v>
      </c>
      <c r="E7" s="8" t="s">
        <v>460</v>
      </c>
      <c r="F7" s="30"/>
      <c r="G7" s="30"/>
      <c r="H7" t="s">
        <v>555</v>
      </c>
      <c r="I7" t="s">
        <v>1439</v>
      </c>
      <c r="J7" s="9">
        <v>4</v>
      </c>
      <c r="K7" s="10" t="s">
        <v>164</v>
      </c>
      <c r="L7" s="9">
        <v>4</v>
      </c>
      <c r="M7" s="10" t="s">
        <v>1426</v>
      </c>
      <c r="N7" s="9">
        <v>4</v>
      </c>
      <c r="O7" s="10" t="s">
        <v>1425</v>
      </c>
      <c r="P7" s="8" t="s">
        <v>512</v>
      </c>
      <c r="Q7" s="8" t="s">
        <v>823</v>
      </c>
      <c r="R7" s="11">
        <v>560</v>
      </c>
      <c r="S7" s="11">
        <v>10</v>
      </c>
      <c r="T7" s="11">
        <v>530</v>
      </c>
      <c r="U7" s="11">
        <v>7</v>
      </c>
      <c r="V7" s="10" t="s">
        <v>824</v>
      </c>
      <c r="W7" s="10"/>
      <c r="X7" t="s">
        <v>515</v>
      </c>
      <c r="AC7" t="s">
        <v>515</v>
      </c>
      <c r="AH7" t="s">
        <v>512</v>
      </c>
      <c r="AI7">
        <v>31</v>
      </c>
      <c r="AJ7">
        <v>560</v>
      </c>
      <c r="AK7">
        <v>10</v>
      </c>
      <c r="AL7">
        <v>530</v>
      </c>
      <c r="AN7" t="s">
        <v>523</v>
      </c>
      <c r="AO7" t="s">
        <v>825</v>
      </c>
      <c r="AP7" t="s">
        <v>512</v>
      </c>
      <c r="AQ7">
        <v>32</v>
      </c>
      <c r="AR7" t="s">
        <v>640</v>
      </c>
      <c r="AS7" t="s">
        <v>521</v>
      </c>
      <c r="AT7">
        <v>562</v>
      </c>
      <c r="AU7">
        <v>551</v>
      </c>
      <c r="AV7" t="s">
        <v>641</v>
      </c>
    </row>
    <row r="8" spans="1:48" x14ac:dyDescent="0.35">
      <c r="A8">
        <v>69</v>
      </c>
      <c r="B8" t="s">
        <v>842</v>
      </c>
      <c r="C8" s="8" t="s">
        <v>843</v>
      </c>
      <c r="D8" s="8" t="s">
        <v>924</v>
      </c>
      <c r="E8" s="8" t="s">
        <v>755</v>
      </c>
      <c r="F8" s="30"/>
      <c r="G8" s="30"/>
      <c r="H8" s="8" t="s">
        <v>555</v>
      </c>
      <c r="I8" s="8" t="s">
        <v>844</v>
      </c>
      <c r="J8" s="9">
        <v>0</v>
      </c>
      <c r="K8" s="10" t="s">
        <v>164</v>
      </c>
      <c r="L8" s="9">
        <v>0</v>
      </c>
      <c r="M8" s="10" t="s">
        <v>687</v>
      </c>
      <c r="N8" s="9">
        <v>0</v>
      </c>
      <c r="O8" s="10"/>
      <c r="P8" s="8" t="s">
        <v>512</v>
      </c>
      <c r="Q8" s="8" t="s">
        <v>845</v>
      </c>
      <c r="R8" s="11"/>
      <c r="S8" s="11"/>
      <c r="T8" s="11">
        <v>593</v>
      </c>
      <c r="U8" s="11">
        <v>39</v>
      </c>
      <c r="V8" s="10" t="s">
        <v>690</v>
      </c>
      <c r="W8" s="10"/>
      <c r="X8" t="s">
        <v>515</v>
      </c>
      <c r="AC8" t="s">
        <v>515</v>
      </c>
      <c r="AH8" t="s">
        <v>515</v>
      </c>
      <c r="AP8" t="s">
        <v>512</v>
      </c>
      <c r="AQ8">
        <v>15</v>
      </c>
      <c r="AR8" t="s">
        <v>538</v>
      </c>
      <c r="AS8" t="s">
        <v>555</v>
      </c>
      <c r="AV8" t="s">
        <v>581</v>
      </c>
    </row>
    <row r="9" spans="1:48" x14ac:dyDescent="0.35">
      <c r="A9">
        <v>81</v>
      </c>
      <c r="B9" t="s">
        <v>884</v>
      </c>
      <c r="C9" t="s">
        <v>885</v>
      </c>
      <c r="D9" s="8" t="s">
        <v>924</v>
      </c>
      <c r="E9" s="8" t="s">
        <v>468</v>
      </c>
      <c r="F9" s="30"/>
      <c r="G9" s="30"/>
      <c r="H9" t="s">
        <v>555</v>
      </c>
      <c r="I9" t="s">
        <v>1527</v>
      </c>
      <c r="J9" s="9">
        <v>3</v>
      </c>
      <c r="K9" s="8" t="s">
        <v>1573</v>
      </c>
      <c r="L9" s="9">
        <v>3</v>
      </c>
      <c r="M9" s="8" t="s">
        <v>164</v>
      </c>
      <c r="N9" s="9">
        <v>3</v>
      </c>
      <c r="O9" s="10"/>
      <c r="P9" s="8" t="s">
        <v>512</v>
      </c>
      <c r="Q9" s="8" t="s">
        <v>886</v>
      </c>
      <c r="R9" s="11">
        <v>549</v>
      </c>
      <c r="S9" s="11">
        <v>1</v>
      </c>
      <c r="T9" s="11">
        <v>545</v>
      </c>
      <c r="U9" s="11">
        <v>0.01</v>
      </c>
      <c r="V9" s="10" t="s">
        <v>887</v>
      </c>
      <c r="W9" s="10"/>
      <c r="X9" t="s">
        <v>512</v>
      </c>
      <c r="Y9" t="s">
        <v>423</v>
      </c>
      <c r="AB9" t="s">
        <v>888</v>
      </c>
      <c r="AC9" t="s">
        <v>515</v>
      </c>
      <c r="AH9" t="s">
        <v>512</v>
      </c>
      <c r="AI9">
        <v>20</v>
      </c>
      <c r="AJ9">
        <v>549</v>
      </c>
      <c r="AK9">
        <v>1</v>
      </c>
      <c r="AN9" t="s">
        <v>523</v>
      </c>
      <c r="AO9" t="s">
        <v>889</v>
      </c>
      <c r="AP9" t="s">
        <v>512</v>
      </c>
      <c r="AQ9">
        <v>33</v>
      </c>
      <c r="AR9" t="s">
        <v>841</v>
      </c>
      <c r="AS9" t="s">
        <v>521</v>
      </c>
      <c r="AT9">
        <v>562</v>
      </c>
      <c r="AU9">
        <v>551</v>
      </c>
    </row>
    <row r="10" spans="1:48" x14ac:dyDescent="0.35">
      <c r="A10">
        <v>82</v>
      </c>
      <c r="B10" s="8" t="s">
        <v>890</v>
      </c>
      <c r="C10" s="8"/>
      <c r="D10" s="8" t="s">
        <v>924</v>
      </c>
      <c r="E10" s="8" t="s">
        <v>464</v>
      </c>
      <c r="F10" s="30"/>
      <c r="G10" s="30"/>
      <c r="H10" s="8" t="s">
        <v>555</v>
      </c>
      <c r="I10" s="8" t="s">
        <v>891</v>
      </c>
      <c r="J10" s="9">
        <v>2</v>
      </c>
      <c r="K10" s="8" t="s">
        <v>164</v>
      </c>
      <c r="L10" s="9">
        <v>2</v>
      </c>
      <c r="M10" s="8" t="s">
        <v>164</v>
      </c>
      <c r="N10" s="9">
        <v>2</v>
      </c>
      <c r="O10" s="10"/>
      <c r="P10" s="8" t="s">
        <v>512</v>
      </c>
      <c r="Q10" s="8" t="s">
        <v>892</v>
      </c>
      <c r="R10" s="11"/>
      <c r="S10" s="11"/>
      <c r="T10" s="11">
        <v>541</v>
      </c>
      <c r="U10" s="11">
        <v>1</v>
      </c>
      <c r="V10" s="10" t="s">
        <v>893</v>
      </c>
      <c r="W10" s="10"/>
      <c r="X10" s="8" t="s">
        <v>515</v>
      </c>
      <c r="Y10" s="8"/>
      <c r="Z10" s="8"/>
      <c r="AA10" s="8"/>
      <c r="AB10" s="8"/>
      <c r="AC10" s="8" t="s">
        <v>515</v>
      </c>
      <c r="AD10" s="12"/>
      <c r="AE10" s="12"/>
      <c r="AF10" s="12"/>
      <c r="AG10" s="12"/>
      <c r="AH10" t="s">
        <v>515</v>
      </c>
      <c r="AP10" t="s">
        <v>515</v>
      </c>
    </row>
    <row r="11" spans="1:48" x14ac:dyDescent="0.35">
      <c r="A11">
        <v>1</v>
      </c>
      <c r="B11" s="8" t="s">
        <v>509</v>
      </c>
      <c r="C11" s="8" t="s">
        <v>510</v>
      </c>
      <c r="D11" s="8" t="s">
        <v>924</v>
      </c>
      <c r="E11" s="8" t="s">
        <v>447</v>
      </c>
      <c r="F11" s="30">
        <v>44.225560000000002</v>
      </c>
      <c r="G11" s="30">
        <v>23.71837</v>
      </c>
      <c r="H11" s="8" t="s">
        <v>511</v>
      </c>
      <c r="I11" s="8"/>
      <c r="J11" s="9">
        <v>2</v>
      </c>
      <c r="K11" s="8" t="s">
        <v>1433</v>
      </c>
      <c r="L11" s="9">
        <v>2</v>
      </c>
      <c r="M11" s="8" t="s">
        <v>164</v>
      </c>
      <c r="N11" s="9">
        <v>2</v>
      </c>
      <c r="O11" s="10"/>
      <c r="P11" s="8" t="s">
        <v>512</v>
      </c>
      <c r="Q11" s="8" t="s">
        <v>513</v>
      </c>
      <c r="R11" s="11">
        <v>618</v>
      </c>
      <c r="S11" s="11">
        <v>0.01</v>
      </c>
      <c r="T11" s="11">
        <v>576</v>
      </c>
      <c r="U11" s="11">
        <v>5.6</v>
      </c>
      <c r="V11" s="10" t="s">
        <v>514</v>
      </c>
      <c r="W11" s="10"/>
      <c r="X11" s="8" t="s">
        <v>515</v>
      </c>
      <c r="Y11" s="8"/>
      <c r="Z11" s="8"/>
      <c r="AA11" s="8"/>
      <c r="AB11" s="8"/>
      <c r="AC11" s="8" t="s">
        <v>515</v>
      </c>
      <c r="AD11" s="12"/>
      <c r="AE11" s="12"/>
      <c r="AF11" s="12"/>
      <c r="AG11" s="12"/>
      <c r="AH11" t="s">
        <v>515</v>
      </c>
      <c r="AP11" t="s">
        <v>515</v>
      </c>
    </row>
    <row r="12" spans="1:48" x14ac:dyDescent="0.35">
      <c r="A12">
        <v>9</v>
      </c>
      <c r="B12" t="s">
        <v>559</v>
      </c>
      <c r="D12" s="8" t="s">
        <v>924</v>
      </c>
      <c r="E12" s="8" t="s">
        <v>450</v>
      </c>
      <c r="F12" s="30">
        <v>138.56</v>
      </c>
      <c r="G12" s="30">
        <v>-31.43</v>
      </c>
      <c r="H12" t="s">
        <v>511</v>
      </c>
      <c r="J12" s="4">
        <v>1</v>
      </c>
      <c r="K12" s="8" t="s">
        <v>1433</v>
      </c>
      <c r="L12" s="4">
        <v>1</v>
      </c>
      <c r="M12" s="8" t="s">
        <v>164</v>
      </c>
      <c r="N12" s="4">
        <v>1</v>
      </c>
      <c r="O12" s="10"/>
      <c r="P12" t="s">
        <v>512</v>
      </c>
      <c r="Q12" t="s">
        <v>560</v>
      </c>
      <c r="R12" s="5">
        <v>657</v>
      </c>
      <c r="S12" s="5">
        <v>17</v>
      </c>
      <c r="T12" s="5">
        <v>593</v>
      </c>
      <c r="U12" s="5">
        <v>32</v>
      </c>
      <c r="V12" t="s">
        <v>561</v>
      </c>
      <c r="W12" s="10"/>
      <c r="X12" t="s">
        <v>515</v>
      </c>
      <c r="AC12" t="s">
        <v>512</v>
      </c>
      <c r="AD12" t="s">
        <v>562</v>
      </c>
      <c r="AE12">
        <v>581</v>
      </c>
      <c r="AF12">
        <v>579</v>
      </c>
      <c r="AG12" t="s">
        <v>563</v>
      </c>
      <c r="AH12" t="s">
        <v>512</v>
      </c>
      <c r="AI12">
        <v>5</v>
      </c>
      <c r="AJ12">
        <v>588</v>
      </c>
      <c r="AK12">
        <v>35</v>
      </c>
      <c r="AL12">
        <v>570</v>
      </c>
      <c r="AN12" t="s">
        <v>523</v>
      </c>
      <c r="AO12" t="s">
        <v>564</v>
      </c>
      <c r="AP12" t="s">
        <v>512</v>
      </c>
      <c r="AQ12">
        <v>22</v>
      </c>
      <c r="AR12" t="s">
        <v>538</v>
      </c>
      <c r="AS12" t="s">
        <v>562</v>
      </c>
      <c r="AT12">
        <v>581</v>
      </c>
      <c r="AU12">
        <v>579</v>
      </c>
    </row>
    <row r="13" spans="1:48" x14ac:dyDescent="0.35">
      <c r="A13">
        <v>14</v>
      </c>
      <c r="B13" t="s">
        <v>582</v>
      </c>
      <c r="D13" s="8" t="s">
        <v>924</v>
      </c>
      <c r="E13" s="8" t="s">
        <v>450</v>
      </c>
      <c r="F13" s="30">
        <v>144.862487484181</v>
      </c>
      <c r="G13" s="30">
        <v>-40.7438283474972</v>
      </c>
      <c r="H13" s="8" t="s">
        <v>511</v>
      </c>
      <c r="I13" s="8" t="s">
        <v>583</v>
      </c>
      <c r="J13" s="4">
        <v>3</v>
      </c>
      <c r="K13" s="8" t="s">
        <v>1433</v>
      </c>
      <c r="L13" s="4">
        <v>3</v>
      </c>
      <c r="M13" s="8" t="s">
        <v>164</v>
      </c>
      <c r="N13" s="4">
        <v>3</v>
      </c>
      <c r="O13" s="10"/>
      <c r="P13" t="s">
        <v>512</v>
      </c>
      <c r="Q13" t="s">
        <v>584</v>
      </c>
      <c r="R13" s="5">
        <v>582</v>
      </c>
      <c r="S13" s="5">
        <v>4</v>
      </c>
      <c r="T13" s="5">
        <v>485.4</v>
      </c>
      <c r="U13" s="5">
        <v>5</v>
      </c>
      <c r="V13" t="s">
        <v>585</v>
      </c>
      <c r="W13" s="10"/>
      <c r="X13" t="s">
        <v>512</v>
      </c>
      <c r="Y13" t="s">
        <v>562</v>
      </c>
      <c r="Z13">
        <v>582</v>
      </c>
      <c r="AA13">
        <v>575</v>
      </c>
      <c r="AB13" t="s">
        <v>586</v>
      </c>
      <c r="AC13" t="s">
        <v>515</v>
      </c>
      <c r="AH13" t="s">
        <v>512</v>
      </c>
      <c r="AI13">
        <v>6</v>
      </c>
      <c r="AJ13">
        <v>582</v>
      </c>
      <c r="AK13">
        <v>4</v>
      </c>
      <c r="AN13" t="s">
        <v>523</v>
      </c>
      <c r="AO13" t="s">
        <v>587</v>
      </c>
      <c r="AP13" t="s">
        <v>512</v>
      </c>
      <c r="AQ13">
        <v>23</v>
      </c>
      <c r="AR13" t="s">
        <v>588</v>
      </c>
      <c r="AS13" t="s">
        <v>562</v>
      </c>
      <c r="AT13">
        <v>581</v>
      </c>
      <c r="AU13">
        <v>579</v>
      </c>
    </row>
    <row r="14" spans="1:48" x14ac:dyDescent="0.35">
      <c r="A14">
        <v>15</v>
      </c>
      <c r="B14" t="s">
        <v>589</v>
      </c>
      <c r="D14" s="8" t="s">
        <v>924</v>
      </c>
      <c r="E14" s="8" t="s">
        <v>450</v>
      </c>
      <c r="F14" s="30">
        <v>131.94</v>
      </c>
      <c r="G14" s="30">
        <v>-28.4</v>
      </c>
      <c r="H14" s="8" t="s">
        <v>511</v>
      </c>
      <c r="I14" s="8"/>
      <c r="J14" s="4">
        <v>1</v>
      </c>
      <c r="K14" s="8" t="s">
        <v>1433</v>
      </c>
      <c r="L14" s="4">
        <v>2</v>
      </c>
      <c r="M14" s="8" t="s">
        <v>164</v>
      </c>
      <c r="N14" s="4">
        <v>2</v>
      </c>
      <c r="O14" s="10"/>
      <c r="P14" t="s">
        <v>512</v>
      </c>
      <c r="Q14" t="s">
        <v>590</v>
      </c>
      <c r="R14" s="5"/>
      <c r="S14" s="5"/>
      <c r="T14" s="5"/>
      <c r="U14" s="5"/>
      <c r="V14" t="s">
        <v>591</v>
      </c>
      <c r="W14" s="10"/>
      <c r="X14" t="s">
        <v>515</v>
      </c>
      <c r="AC14" t="s">
        <v>515</v>
      </c>
      <c r="AH14" t="s">
        <v>515</v>
      </c>
      <c r="AP14" t="s">
        <v>515</v>
      </c>
    </row>
    <row r="15" spans="1:48" x14ac:dyDescent="0.35">
      <c r="A15">
        <v>18</v>
      </c>
      <c r="B15" t="s">
        <v>603</v>
      </c>
      <c r="D15" s="8" t="s">
        <v>924</v>
      </c>
      <c r="E15" s="8" t="s">
        <v>449</v>
      </c>
      <c r="F15" s="30">
        <v>111.35</v>
      </c>
      <c r="G15" s="30">
        <v>30.33</v>
      </c>
      <c r="H15" s="8" t="s">
        <v>511</v>
      </c>
      <c r="I15" s="8"/>
      <c r="J15" s="4"/>
      <c r="K15" s="13" t="s">
        <v>1433</v>
      </c>
      <c r="L15" s="4">
        <v>0</v>
      </c>
      <c r="M15" s="13" t="s">
        <v>600</v>
      </c>
      <c r="N15" s="4"/>
      <c r="O15" t="s">
        <v>1422</v>
      </c>
      <c r="P15" t="s">
        <v>515</v>
      </c>
      <c r="R15" s="5"/>
      <c r="S15" s="5"/>
      <c r="T15" s="5"/>
      <c r="U15" s="5"/>
      <c r="V15" s="6"/>
      <c r="W15" s="10"/>
      <c r="X15" t="s">
        <v>515</v>
      </c>
      <c r="Y15" s="8"/>
      <c r="Z15" s="8"/>
      <c r="AA15" s="8"/>
      <c r="AB15" s="8"/>
      <c r="AC15" t="s">
        <v>515</v>
      </c>
      <c r="AD15" s="12"/>
      <c r="AE15" s="12"/>
      <c r="AF15" s="12"/>
      <c r="AG15" s="12"/>
      <c r="AH15" t="s">
        <v>515</v>
      </c>
      <c r="AP15" t="s">
        <v>515</v>
      </c>
    </row>
    <row r="16" spans="1:48" x14ac:dyDescent="0.35">
      <c r="A16">
        <v>24</v>
      </c>
      <c r="B16" t="s">
        <v>627</v>
      </c>
      <c r="D16" s="8" t="s">
        <v>924</v>
      </c>
      <c r="E16" s="8" t="s">
        <v>453</v>
      </c>
      <c r="F16" s="30">
        <v>-77.64</v>
      </c>
      <c r="G16" s="30">
        <v>39.04</v>
      </c>
      <c r="H16" s="8" t="s">
        <v>511</v>
      </c>
      <c r="I16" t="s">
        <v>628</v>
      </c>
      <c r="J16" s="4">
        <v>2</v>
      </c>
      <c r="K16" s="8" t="s">
        <v>1433</v>
      </c>
      <c r="L16" s="4">
        <v>2</v>
      </c>
      <c r="M16" s="8" t="s">
        <v>164</v>
      </c>
      <c r="N16" s="4">
        <v>2</v>
      </c>
      <c r="O16" s="10"/>
      <c r="P16" t="s">
        <v>512</v>
      </c>
      <c r="Q16" t="s">
        <v>629</v>
      </c>
      <c r="R16" s="5">
        <v>715</v>
      </c>
      <c r="S16" s="5">
        <v>15</v>
      </c>
      <c r="T16" s="5">
        <v>570</v>
      </c>
      <c r="U16" s="5">
        <v>1</v>
      </c>
      <c r="V16" t="s">
        <v>630</v>
      </c>
      <c r="W16" s="10"/>
      <c r="X16" t="s">
        <v>515</v>
      </c>
      <c r="AC16" t="s">
        <v>512</v>
      </c>
      <c r="AD16" t="s">
        <v>611</v>
      </c>
      <c r="AE16">
        <v>572</v>
      </c>
      <c r="AF16">
        <v>570</v>
      </c>
      <c r="AG16" t="s">
        <v>631</v>
      </c>
      <c r="AH16" t="s">
        <v>512</v>
      </c>
      <c r="AI16">
        <v>21</v>
      </c>
      <c r="AL16">
        <v>571</v>
      </c>
      <c r="AM16">
        <v>1</v>
      </c>
      <c r="AN16" t="s">
        <v>523</v>
      </c>
      <c r="AO16" t="s">
        <v>632</v>
      </c>
      <c r="AP16" t="s">
        <v>512</v>
      </c>
      <c r="AQ16">
        <v>41</v>
      </c>
      <c r="AR16" t="s">
        <v>633</v>
      </c>
      <c r="AS16" t="s">
        <v>611</v>
      </c>
      <c r="AT16">
        <v>571</v>
      </c>
      <c r="AU16">
        <v>571</v>
      </c>
    </row>
    <row r="17" spans="1:48" x14ac:dyDescent="0.35">
      <c r="A17">
        <v>26</v>
      </c>
      <c r="B17" t="s">
        <v>642</v>
      </c>
      <c r="C17" t="s">
        <v>918</v>
      </c>
      <c r="D17" s="8" t="s">
        <v>924</v>
      </c>
      <c r="E17" s="8" t="s">
        <v>446</v>
      </c>
      <c r="F17" s="30">
        <v>-53.590888999999997</v>
      </c>
      <c r="G17" s="30">
        <v>46.923333999999997</v>
      </c>
      <c r="H17" t="s">
        <v>511</v>
      </c>
      <c r="J17" s="4">
        <v>4</v>
      </c>
      <c r="K17" s="8" t="s">
        <v>1433</v>
      </c>
      <c r="L17" s="4">
        <v>4</v>
      </c>
      <c r="M17" s="8" t="s">
        <v>164</v>
      </c>
      <c r="N17" s="4">
        <v>4</v>
      </c>
      <c r="O17" s="10"/>
      <c r="P17" t="s">
        <v>512</v>
      </c>
      <c r="Q17" t="s">
        <v>643</v>
      </c>
      <c r="R17" s="5">
        <v>580.9</v>
      </c>
      <c r="S17" s="5">
        <v>0.4</v>
      </c>
      <c r="T17" s="5">
        <v>579.88</v>
      </c>
      <c r="U17" s="5">
        <v>0.44</v>
      </c>
      <c r="V17" t="s">
        <v>644</v>
      </c>
      <c r="W17" s="10"/>
      <c r="X17" t="s">
        <v>512</v>
      </c>
      <c r="Y17" t="s">
        <v>562</v>
      </c>
      <c r="Z17">
        <v>580.9</v>
      </c>
      <c r="AA17">
        <v>579.88</v>
      </c>
      <c r="AB17" t="s">
        <v>645</v>
      </c>
      <c r="AC17" t="s">
        <v>512</v>
      </c>
      <c r="AD17" t="s">
        <v>562</v>
      </c>
      <c r="AE17">
        <v>581</v>
      </c>
      <c r="AF17">
        <v>579</v>
      </c>
      <c r="AG17" t="s">
        <v>563</v>
      </c>
      <c r="AH17" t="s">
        <v>512</v>
      </c>
      <c r="AI17">
        <v>8</v>
      </c>
      <c r="AJ17">
        <v>580.9</v>
      </c>
      <c r="AK17">
        <v>0.4</v>
      </c>
      <c r="AL17">
        <v>579.88</v>
      </c>
      <c r="AM17">
        <v>0.44</v>
      </c>
      <c r="AN17" t="s">
        <v>523</v>
      </c>
      <c r="AO17" t="s">
        <v>646</v>
      </c>
      <c r="AP17" t="s">
        <v>512</v>
      </c>
      <c r="AQ17">
        <v>34</v>
      </c>
      <c r="AR17" t="s">
        <v>525</v>
      </c>
      <c r="AS17" t="s">
        <v>562</v>
      </c>
      <c r="AT17">
        <v>581</v>
      </c>
      <c r="AU17">
        <v>579</v>
      </c>
    </row>
    <row r="18" spans="1:48" x14ac:dyDescent="0.35">
      <c r="A18">
        <v>27</v>
      </c>
      <c r="B18" t="s">
        <v>647</v>
      </c>
      <c r="C18" t="s">
        <v>540</v>
      </c>
      <c r="D18" s="8" t="s">
        <v>924</v>
      </c>
      <c r="E18" s="8" t="s">
        <v>464</v>
      </c>
      <c r="F18" s="30">
        <v>24.356557644520599</v>
      </c>
      <c r="G18" s="30">
        <v>52.212442785414602</v>
      </c>
      <c r="H18" t="s">
        <v>511</v>
      </c>
      <c r="I18" t="s">
        <v>541</v>
      </c>
      <c r="J18" s="4">
        <v>4</v>
      </c>
      <c r="K18" s="8" t="s">
        <v>1433</v>
      </c>
      <c r="L18" s="4">
        <v>4</v>
      </c>
      <c r="M18" s="8" t="s">
        <v>164</v>
      </c>
      <c r="N18" s="4">
        <v>4</v>
      </c>
      <c r="O18" s="10"/>
      <c r="P18" t="s">
        <v>512</v>
      </c>
      <c r="Q18" t="s">
        <v>648</v>
      </c>
      <c r="R18" s="5">
        <v>977</v>
      </c>
      <c r="S18" s="5">
        <v>6</v>
      </c>
      <c r="T18" s="5">
        <v>551</v>
      </c>
      <c r="U18" s="5">
        <v>4</v>
      </c>
      <c r="V18" t="s">
        <v>649</v>
      </c>
      <c r="W18" s="10"/>
      <c r="X18" t="s">
        <v>512</v>
      </c>
      <c r="AB18" t="s">
        <v>572</v>
      </c>
      <c r="AC18" t="s">
        <v>515</v>
      </c>
      <c r="AH18" t="s">
        <v>512</v>
      </c>
      <c r="AI18">
        <v>13</v>
      </c>
      <c r="AJ18">
        <v>555</v>
      </c>
      <c r="AN18" t="s">
        <v>523</v>
      </c>
      <c r="AO18" t="s">
        <v>544</v>
      </c>
      <c r="AP18" t="s">
        <v>512</v>
      </c>
      <c r="AQ18">
        <v>4</v>
      </c>
      <c r="AR18" t="s">
        <v>588</v>
      </c>
      <c r="AS18" t="s">
        <v>521</v>
      </c>
      <c r="AT18">
        <v>562</v>
      </c>
      <c r="AU18">
        <v>551</v>
      </c>
      <c r="AV18" t="s">
        <v>526</v>
      </c>
    </row>
    <row r="19" spans="1:48" x14ac:dyDescent="0.35">
      <c r="A19">
        <v>36</v>
      </c>
      <c r="B19" t="s">
        <v>693</v>
      </c>
      <c r="D19" s="8" t="s">
        <v>924</v>
      </c>
      <c r="E19" s="8" t="s">
        <v>694</v>
      </c>
      <c r="F19" s="30">
        <v>-48.666699999999999</v>
      </c>
      <c r="G19" s="30">
        <v>-24.583300000000001</v>
      </c>
      <c r="H19" t="s">
        <v>511</v>
      </c>
      <c r="I19" t="s">
        <v>695</v>
      </c>
      <c r="J19" s="4">
        <v>2</v>
      </c>
      <c r="K19" s="10" t="s">
        <v>1433</v>
      </c>
      <c r="L19" s="4">
        <v>2</v>
      </c>
      <c r="M19" s="6" t="s">
        <v>1416</v>
      </c>
      <c r="N19" s="4"/>
      <c r="O19" s="6"/>
      <c r="P19" s="8" t="s">
        <v>515</v>
      </c>
      <c r="Q19" s="8"/>
      <c r="R19" s="5"/>
      <c r="S19" s="5"/>
      <c r="T19" s="5"/>
      <c r="U19" s="5"/>
      <c r="V19" s="10"/>
      <c r="W19" s="10"/>
      <c r="X19" t="s">
        <v>512</v>
      </c>
      <c r="AB19" t="s">
        <v>572</v>
      </c>
      <c r="AC19" t="s">
        <v>515</v>
      </c>
      <c r="AH19" t="s">
        <v>512</v>
      </c>
      <c r="AI19">
        <v>25</v>
      </c>
      <c r="AJ19">
        <v>580</v>
      </c>
      <c r="AN19" t="s">
        <v>523</v>
      </c>
      <c r="AO19" t="s">
        <v>696</v>
      </c>
      <c r="AP19" t="s">
        <v>512</v>
      </c>
      <c r="AQ19">
        <v>45</v>
      </c>
      <c r="AR19" t="s">
        <v>538</v>
      </c>
      <c r="AS19" t="s">
        <v>555</v>
      </c>
      <c r="AV19" t="s">
        <v>697</v>
      </c>
    </row>
    <row r="20" spans="1:48" x14ac:dyDescent="0.35">
      <c r="A20">
        <v>38</v>
      </c>
      <c r="B20" t="s">
        <v>702</v>
      </c>
      <c r="C20" t="s">
        <v>703</v>
      </c>
      <c r="D20" s="8" t="s">
        <v>924</v>
      </c>
      <c r="E20" s="8" t="s">
        <v>460</v>
      </c>
      <c r="F20" s="30">
        <v>-7.43</v>
      </c>
      <c r="G20" s="30">
        <v>30.52</v>
      </c>
      <c r="H20" t="s">
        <v>511</v>
      </c>
      <c r="J20" s="4">
        <v>4</v>
      </c>
      <c r="K20" s="8" t="s">
        <v>1433</v>
      </c>
      <c r="L20" s="4">
        <v>3</v>
      </c>
      <c r="M20" s="8" t="s">
        <v>164</v>
      </c>
      <c r="N20" s="4">
        <v>3</v>
      </c>
      <c r="O20" s="10"/>
      <c r="P20" t="s">
        <v>512</v>
      </c>
      <c r="Q20" t="s">
        <v>704</v>
      </c>
      <c r="R20" s="5">
        <v>592.30999999999995</v>
      </c>
      <c r="S20" s="5">
        <v>0.18</v>
      </c>
      <c r="T20" s="5">
        <v>574.9</v>
      </c>
      <c r="U20" s="5">
        <v>3</v>
      </c>
      <c r="V20" t="s">
        <v>705</v>
      </c>
      <c r="W20" s="10"/>
      <c r="X20" t="s">
        <v>515</v>
      </c>
      <c r="AB20" t="s">
        <v>706</v>
      </c>
      <c r="AC20" t="s">
        <v>515</v>
      </c>
      <c r="AG20" t="s">
        <v>706</v>
      </c>
      <c r="AH20" t="s">
        <v>515</v>
      </c>
      <c r="AO20" t="s">
        <v>706</v>
      </c>
      <c r="AP20" t="s">
        <v>515</v>
      </c>
      <c r="AV20" t="s">
        <v>707</v>
      </c>
    </row>
    <row r="21" spans="1:48" x14ac:dyDescent="0.35">
      <c r="A21">
        <v>40</v>
      </c>
      <c r="B21" t="s">
        <v>714</v>
      </c>
      <c r="C21" t="s">
        <v>715</v>
      </c>
      <c r="D21" s="8" t="s">
        <v>924</v>
      </c>
      <c r="E21" s="8" t="s">
        <v>464</v>
      </c>
      <c r="F21" s="30">
        <v>58.87</v>
      </c>
      <c r="G21" s="30">
        <v>58.51</v>
      </c>
      <c r="H21" t="s">
        <v>511</v>
      </c>
      <c r="J21" s="4">
        <v>3</v>
      </c>
      <c r="K21" s="8" t="s">
        <v>1433</v>
      </c>
      <c r="L21" s="4">
        <v>3</v>
      </c>
      <c r="M21" s="8" t="s">
        <v>164</v>
      </c>
      <c r="N21" s="4">
        <v>3</v>
      </c>
      <c r="O21" s="10"/>
      <c r="P21" t="s">
        <v>512</v>
      </c>
      <c r="Q21" t="s">
        <v>716</v>
      </c>
      <c r="R21" s="5">
        <v>671</v>
      </c>
      <c r="S21" s="5">
        <v>24</v>
      </c>
      <c r="T21" s="5">
        <v>557</v>
      </c>
      <c r="U21" s="5">
        <v>13</v>
      </c>
      <c r="V21" t="s">
        <v>717</v>
      </c>
      <c r="W21" s="10"/>
      <c r="X21" t="s">
        <v>515</v>
      </c>
      <c r="AC21" t="s">
        <v>512</v>
      </c>
      <c r="AD21" t="s">
        <v>611</v>
      </c>
      <c r="AE21">
        <v>572</v>
      </c>
      <c r="AF21">
        <v>570</v>
      </c>
      <c r="AG21" t="s">
        <v>631</v>
      </c>
      <c r="AH21" t="s">
        <v>512</v>
      </c>
      <c r="AI21">
        <v>15</v>
      </c>
      <c r="AJ21">
        <v>598.1</v>
      </c>
      <c r="AK21">
        <v>6</v>
      </c>
      <c r="AL21">
        <v>567.20000000000005</v>
      </c>
      <c r="AM21">
        <v>3.9</v>
      </c>
      <c r="AN21" t="s">
        <v>523</v>
      </c>
      <c r="AO21" t="s">
        <v>718</v>
      </c>
      <c r="AP21" t="s">
        <v>512</v>
      </c>
      <c r="AQ21">
        <v>7</v>
      </c>
      <c r="AR21" t="s">
        <v>538</v>
      </c>
      <c r="AS21" t="s">
        <v>562</v>
      </c>
      <c r="AT21">
        <v>581</v>
      </c>
      <c r="AU21">
        <v>579</v>
      </c>
      <c r="AV21" t="s">
        <v>719</v>
      </c>
    </row>
    <row r="22" spans="1:48" x14ac:dyDescent="0.35">
      <c r="A22">
        <v>44</v>
      </c>
      <c r="B22" t="s">
        <v>732</v>
      </c>
      <c r="D22" s="8" t="s">
        <v>924</v>
      </c>
      <c r="E22" s="8" t="s">
        <v>733</v>
      </c>
      <c r="F22" s="30">
        <v>-55.26</v>
      </c>
      <c r="G22" s="30">
        <v>-34.71</v>
      </c>
      <c r="H22" t="s">
        <v>511</v>
      </c>
      <c r="J22" s="4">
        <v>4</v>
      </c>
      <c r="K22" s="8" t="s">
        <v>1433</v>
      </c>
      <c r="L22" s="4">
        <v>3</v>
      </c>
      <c r="M22" s="8" t="s">
        <v>164</v>
      </c>
      <c r="N22" s="4">
        <v>3</v>
      </c>
      <c r="O22" s="10"/>
      <c r="P22" t="s">
        <v>512</v>
      </c>
      <c r="Q22" t="s">
        <v>734</v>
      </c>
      <c r="R22" s="5">
        <v>590</v>
      </c>
      <c r="S22" s="5">
        <v>16</v>
      </c>
      <c r="T22" s="5">
        <v>578</v>
      </c>
      <c r="U22" s="5">
        <v>4.3</v>
      </c>
      <c r="V22" t="s">
        <v>735</v>
      </c>
      <c r="W22" s="10"/>
      <c r="X22" t="s">
        <v>515</v>
      </c>
      <c r="AC22" t="s">
        <v>515</v>
      </c>
      <c r="AH22" t="s">
        <v>512</v>
      </c>
      <c r="AI22">
        <v>24</v>
      </c>
      <c r="AJ22">
        <v>615</v>
      </c>
      <c r="AK22">
        <v>30</v>
      </c>
      <c r="AL22">
        <v>579</v>
      </c>
      <c r="AM22">
        <v>1.5</v>
      </c>
      <c r="AN22" t="s">
        <v>523</v>
      </c>
      <c r="AO22" t="s">
        <v>736</v>
      </c>
      <c r="AP22" t="s">
        <v>512</v>
      </c>
      <c r="AQ22">
        <v>44</v>
      </c>
      <c r="AR22" t="s">
        <v>538</v>
      </c>
      <c r="AS22" t="s">
        <v>562</v>
      </c>
      <c r="AT22">
        <v>581</v>
      </c>
      <c r="AU22">
        <v>579</v>
      </c>
    </row>
    <row r="23" spans="1:48" x14ac:dyDescent="0.35">
      <c r="A23">
        <v>50</v>
      </c>
      <c r="B23" t="s">
        <v>763</v>
      </c>
      <c r="D23" s="8" t="s">
        <v>924</v>
      </c>
      <c r="E23" s="8" t="s">
        <v>446</v>
      </c>
      <c r="F23" s="30">
        <v>-53.74</v>
      </c>
      <c r="G23" s="30">
        <v>47.04</v>
      </c>
      <c r="H23" t="s">
        <v>511</v>
      </c>
      <c r="I23" s="8"/>
      <c r="J23" s="4">
        <v>4</v>
      </c>
      <c r="K23" s="10" t="s">
        <v>1433</v>
      </c>
      <c r="L23" s="4">
        <v>2</v>
      </c>
      <c r="M23" s="6" t="s">
        <v>1417</v>
      </c>
      <c r="N23" s="4"/>
      <c r="O23" s="6"/>
      <c r="P23" t="s">
        <v>515</v>
      </c>
      <c r="R23" s="5"/>
      <c r="S23" s="5"/>
      <c r="T23" s="5"/>
      <c r="U23" s="5"/>
      <c r="W23" s="10"/>
      <c r="X23" t="s">
        <v>515</v>
      </c>
      <c r="AC23" t="s">
        <v>515</v>
      </c>
      <c r="AH23" t="s">
        <v>515</v>
      </c>
      <c r="AP23" t="s">
        <v>515</v>
      </c>
    </row>
    <row r="24" spans="1:48" x14ac:dyDescent="0.35">
      <c r="A24">
        <v>64</v>
      </c>
      <c r="B24" t="s">
        <v>817</v>
      </c>
      <c r="D24" s="8" t="s">
        <v>924</v>
      </c>
      <c r="E24" s="8" t="s">
        <v>818</v>
      </c>
      <c r="F24" s="30">
        <v>-55.302906729658503</v>
      </c>
      <c r="G24" s="30">
        <v>-34.833299833175701</v>
      </c>
      <c r="H24" s="8" t="s">
        <v>511</v>
      </c>
      <c r="I24" s="8"/>
      <c r="J24" s="9">
        <v>3</v>
      </c>
      <c r="K24" s="8" t="s">
        <v>1433</v>
      </c>
      <c r="L24" s="9">
        <v>3</v>
      </c>
      <c r="M24" s="8" t="s">
        <v>164</v>
      </c>
      <c r="N24" s="9">
        <v>3</v>
      </c>
      <c r="O24" s="10"/>
      <c r="P24" s="8" t="s">
        <v>512</v>
      </c>
      <c r="Q24" s="8" t="s">
        <v>819</v>
      </c>
      <c r="R24" s="11">
        <v>594</v>
      </c>
      <c r="S24" s="11">
        <v>16</v>
      </c>
      <c r="T24" s="11">
        <v>578</v>
      </c>
      <c r="U24" s="11">
        <v>4.3</v>
      </c>
      <c r="V24" s="10" t="s">
        <v>820</v>
      </c>
      <c r="W24" s="10"/>
      <c r="X24" t="s">
        <v>515</v>
      </c>
      <c r="AC24" t="s">
        <v>515</v>
      </c>
      <c r="AH24" t="s">
        <v>515</v>
      </c>
      <c r="AP24" t="s">
        <v>515</v>
      </c>
    </row>
    <row r="25" spans="1:48" x14ac:dyDescent="0.35">
      <c r="A25">
        <v>68</v>
      </c>
      <c r="B25" t="s">
        <v>835</v>
      </c>
      <c r="D25" s="8" t="s">
        <v>924</v>
      </c>
      <c r="E25" s="8" t="s">
        <v>836</v>
      </c>
      <c r="F25" s="30">
        <v>-56.513986013985999</v>
      </c>
      <c r="G25" s="30">
        <v>-13.801369863013599</v>
      </c>
      <c r="H25" t="s">
        <v>511</v>
      </c>
      <c r="I25" t="s">
        <v>837</v>
      </c>
      <c r="J25" s="4">
        <v>4</v>
      </c>
      <c r="K25" s="8" t="s">
        <v>1433</v>
      </c>
      <c r="L25" s="4">
        <v>4</v>
      </c>
      <c r="M25" s="8" t="s">
        <v>164</v>
      </c>
      <c r="N25" s="4">
        <v>4</v>
      </c>
      <c r="O25" s="10"/>
      <c r="P25" t="s">
        <v>512</v>
      </c>
      <c r="Q25" t="s">
        <v>838</v>
      </c>
      <c r="R25" s="5">
        <v>640</v>
      </c>
      <c r="S25" s="5">
        <v>15</v>
      </c>
      <c r="T25" s="5">
        <v>528</v>
      </c>
      <c r="U25" s="5">
        <v>26</v>
      </c>
      <c r="V25" t="s">
        <v>839</v>
      </c>
      <c r="W25" s="10"/>
      <c r="X25" t="s">
        <v>512</v>
      </c>
      <c r="Y25" t="s">
        <v>595</v>
      </c>
      <c r="AB25" t="s">
        <v>572</v>
      </c>
      <c r="AC25" t="s">
        <v>515</v>
      </c>
      <c r="AH25" t="s">
        <v>512</v>
      </c>
      <c r="AI25">
        <v>1</v>
      </c>
      <c r="AJ25">
        <v>630</v>
      </c>
      <c r="AN25" t="s">
        <v>523</v>
      </c>
      <c r="AO25" t="s">
        <v>840</v>
      </c>
      <c r="AP25" t="s">
        <v>512</v>
      </c>
      <c r="AQ25">
        <v>43</v>
      </c>
      <c r="AR25" t="s">
        <v>841</v>
      </c>
      <c r="AS25" t="s">
        <v>562</v>
      </c>
      <c r="AT25">
        <v>581</v>
      </c>
      <c r="AU25">
        <v>579</v>
      </c>
      <c r="AV25" t="s">
        <v>659</v>
      </c>
    </row>
    <row r="26" spans="1:48" x14ac:dyDescent="0.35">
      <c r="A26">
        <v>72</v>
      </c>
      <c r="B26" t="s">
        <v>351</v>
      </c>
      <c r="C26" t="s">
        <v>362</v>
      </c>
      <c r="D26" s="8" t="s">
        <v>924</v>
      </c>
      <c r="E26" s="8" t="s">
        <v>446</v>
      </c>
      <c r="F26" s="30">
        <v>-71.079626786237299</v>
      </c>
      <c r="G26" s="30">
        <v>42.301702080100299</v>
      </c>
      <c r="H26" t="s">
        <v>511</v>
      </c>
      <c r="I26" s="8"/>
      <c r="J26" s="4">
        <v>2</v>
      </c>
      <c r="K26" s="8" t="s">
        <v>1433</v>
      </c>
      <c r="L26" s="4">
        <v>4</v>
      </c>
      <c r="M26" s="8" t="s">
        <v>164</v>
      </c>
      <c r="N26" s="4">
        <v>4</v>
      </c>
      <c r="O26" s="10"/>
      <c r="P26" t="s">
        <v>512</v>
      </c>
      <c r="Q26" t="s">
        <v>850</v>
      </c>
      <c r="R26" s="5">
        <v>596.39</v>
      </c>
      <c r="S26" s="5">
        <v>0.79</v>
      </c>
      <c r="T26" s="5">
        <v>509</v>
      </c>
      <c r="U26" s="5">
        <v>5</v>
      </c>
      <c r="V26" t="s">
        <v>851</v>
      </c>
      <c r="W26" s="10"/>
      <c r="X26" t="s">
        <v>512</v>
      </c>
      <c r="Y26" t="s">
        <v>363</v>
      </c>
      <c r="Z26">
        <v>595.5</v>
      </c>
      <c r="AA26">
        <v>565</v>
      </c>
      <c r="AB26" t="s">
        <v>852</v>
      </c>
      <c r="AC26" t="s">
        <v>512</v>
      </c>
      <c r="AD26" t="s">
        <v>562</v>
      </c>
      <c r="AE26">
        <v>581</v>
      </c>
      <c r="AF26">
        <v>579</v>
      </c>
      <c r="AG26" t="s">
        <v>563</v>
      </c>
      <c r="AH26" t="s">
        <v>512</v>
      </c>
      <c r="AI26">
        <v>10</v>
      </c>
      <c r="AJ26">
        <v>595.5</v>
      </c>
      <c r="AK26">
        <v>2</v>
      </c>
      <c r="AL26">
        <v>570</v>
      </c>
      <c r="AN26" t="s">
        <v>523</v>
      </c>
      <c r="AO26" t="s">
        <v>853</v>
      </c>
      <c r="AP26" t="s">
        <v>512</v>
      </c>
      <c r="AQ26">
        <v>38</v>
      </c>
      <c r="AR26" t="s">
        <v>854</v>
      </c>
      <c r="AS26" t="s">
        <v>562</v>
      </c>
      <c r="AT26">
        <v>581</v>
      </c>
      <c r="AU26">
        <v>579</v>
      </c>
    </row>
    <row r="27" spans="1:48" x14ac:dyDescent="0.35">
      <c r="A27">
        <v>73</v>
      </c>
      <c r="B27" t="s">
        <v>855</v>
      </c>
      <c r="D27" s="8" t="s">
        <v>924</v>
      </c>
      <c r="E27" s="8" t="s">
        <v>464</v>
      </c>
      <c r="F27" s="30">
        <v>58.87</v>
      </c>
      <c r="G27" s="30">
        <v>58.51</v>
      </c>
      <c r="H27" t="s">
        <v>511</v>
      </c>
      <c r="I27" t="s">
        <v>1525</v>
      </c>
      <c r="J27" s="4">
        <v>3</v>
      </c>
      <c r="K27" s="8" t="s">
        <v>1433</v>
      </c>
      <c r="L27" s="4">
        <v>3</v>
      </c>
      <c r="M27" s="8" t="s">
        <v>164</v>
      </c>
      <c r="N27" s="4">
        <v>3</v>
      </c>
      <c r="O27" s="10"/>
      <c r="P27" t="s">
        <v>512</v>
      </c>
      <c r="Q27" t="s">
        <v>856</v>
      </c>
      <c r="R27" s="5">
        <v>671</v>
      </c>
      <c r="S27" s="5">
        <v>24</v>
      </c>
      <c r="T27" s="5">
        <v>557</v>
      </c>
      <c r="U27" s="5">
        <v>13</v>
      </c>
      <c r="V27" t="s">
        <v>857</v>
      </c>
      <c r="W27" s="10"/>
      <c r="X27" t="s">
        <v>512</v>
      </c>
      <c r="AB27" t="s">
        <v>572</v>
      </c>
      <c r="AC27" t="s">
        <v>512</v>
      </c>
      <c r="AD27" t="s">
        <v>315</v>
      </c>
      <c r="AE27">
        <v>566</v>
      </c>
      <c r="AF27">
        <v>564</v>
      </c>
      <c r="AG27" t="s">
        <v>536</v>
      </c>
      <c r="AH27" t="s">
        <v>512</v>
      </c>
      <c r="AI27">
        <v>15</v>
      </c>
      <c r="AJ27">
        <v>598.1</v>
      </c>
      <c r="AK27">
        <v>6</v>
      </c>
      <c r="AL27">
        <v>567.20000000000005</v>
      </c>
      <c r="AM27">
        <v>3.9</v>
      </c>
      <c r="AN27" t="s">
        <v>523</v>
      </c>
      <c r="AO27" t="s">
        <v>718</v>
      </c>
      <c r="AP27" t="s">
        <v>512</v>
      </c>
      <c r="AQ27">
        <v>6</v>
      </c>
      <c r="AR27" t="s">
        <v>538</v>
      </c>
      <c r="AS27" t="s">
        <v>315</v>
      </c>
      <c r="AT27">
        <v>565</v>
      </c>
      <c r="AU27">
        <v>560</v>
      </c>
      <c r="AV27" t="s">
        <v>858</v>
      </c>
    </row>
    <row r="28" spans="1:48" x14ac:dyDescent="0.35">
      <c r="A28">
        <v>76</v>
      </c>
      <c r="B28" t="s">
        <v>866</v>
      </c>
      <c r="D28" s="8" t="s">
        <v>924</v>
      </c>
      <c r="E28" s="8" t="s">
        <v>464</v>
      </c>
      <c r="F28" s="30">
        <v>58.87</v>
      </c>
      <c r="G28" s="30">
        <v>58.51</v>
      </c>
      <c r="H28" t="s">
        <v>511</v>
      </c>
      <c r="I28" s="8"/>
      <c r="J28" s="4">
        <v>3</v>
      </c>
      <c r="K28" s="8" t="s">
        <v>1433</v>
      </c>
      <c r="L28" s="4">
        <v>4</v>
      </c>
      <c r="M28" s="10" t="s">
        <v>1426</v>
      </c>
      <c r="N28" s="4">
        <v>4</v>
      </c>
      <c r="O28" s="10" t="s">
        <v>1425</v>
      </c>
      <c r="P28" t="s">
        <v>512</v>
      </c>
      <c r="Q28" t="s">
        <v>867</v>
      </c>
      <c r="R28" s="5">
        <v>671</v>
      </c>
      <c r="S28" s="5">
        <v>24</v>
      </c>
      <c r="T28" s="5">
        <v>559</v>
      </c>
      <c r="U28" s="5">
        <v>16</v>
      </c>
      <c r="V28" t="s">
        <v>868</v>
      </c>
      <c r="W28" s="10"/>
      <c r="X28" t="s">
        <v>512</v>
      </c>
      <c r="AB28" t="s">
        <v>572</v>
      </c>
      <c r="AC28" t="s">
        <v>512</v>
      </c>
      <c r="AD28" t="s">
        <v>562</v>
      </c>
      <c r="AE28">
        <v>581</v>
      </c>
      <c r="AF28">
        <v>579</v>
      </c>
      <c r="AG28" t="s">
        <v>563</v>
      </c>
      <c r="AH28" t="s">
        <v>512</v>
      </c>
      <c r="AI28">
        <v>15</v>
      </c>
      <c r="AJ28">
        <v>598.1</v>
      </c>
      <c r="AK28">
        <v>6</v>
      </c>
      <c r="AL28">
        <v>567.20000000000005</v>
      </c>
      <c r="AM28">
        <v>3.9</v>
      </c>
      <c r="AN28" t="s">
        <v>523</v>
      </c>
      <c r="AO28" t="s">
        <v>869</v>
      </c>
      <c r="AP28" t="s">
        <v>512</v>
      </c>
      <c r="AQ28">
        <v>7</v>
      </c>
      <c r="AR28" t="s">
        <v>538</v>
      </c>
      <c r="AS28" t="s">
        <v>562</v>
      </c>
      <c r="AT28">
        <v>581</v>
      </c>
      <c r="AU28">
        <v>579</v>
      </c>
      <c r="AV28" t="s">
        <v>870</v>
      </c>
    </row>
    <row r="29" spans="1:48" x14ac:dyDescent="0.35">
      <c r="A29">
        <v>77</v>
      </c>
      <c r="B29" t="s">
        <v>871</v>
      </c>
      <c r="D29" s="8" t="s">
        <v>924</v>
      </c>
      <c r="E29" s="8" t="s">
        <v>460</v>
      </c>
      <c r="F29" s="30">
        <v>-6.51</v>
      </c>
      <c r="G29" s="30">
        <v>30.56</v>
      </c>
      <c r="H29" t="s">
        <v>511</v>
      </c>
      <c r="J29" s="4">
        <v>4</v>
      </c>
      <c r="K29" s="8" t="s">
        <v>1433</v>
      </c>
      <c r="L29" s="4">
        <v>3</v>
      </c>
      <c r="M29" s="8" t="s">
        <v>164</v>
      </c>
      <c r="N29" s="4">
        <v>3</v>
      </c>
      <c r="O29" s="10"/>
      <c r="P29" t="s">
        <v>512</v>
      </c>
      <c r="Q29" t="s">
        <v>872</v>
      </c>
      <c r="R29" s="5">
        <v>592.84</v>
      </c>
      <c r="S29" s="5">
        <v>0.17</v>
      </c>
      <c r="T29" s="5">
        <v>579.4</v>
      </c>
      <c r="U29" s="5">
        <v>1.2</v>
      </c>
      <c r="V29" t="s">
        <v>873</v>
      </c>
      <c r="W29" s="10"/>
      <c r="X29" t="s">
        <v>512</v>
      </c>
      <c r="Y29" t="s">
        <v>387</v>
      </c>
      <c r="Z29">
        <v>593</v>
      </c>
      <c r="AA29">
        <v>579</v>
      </c>
      <c r="AB29" t="s">
        <v>874</v>
      </c>
      <c r="AC29" t="s">
        <v>515</v>
      </c>
      <c r="AG29" t="s">
        <v>875</v>
      </c>
      <c r="AH29" t="s">
        <v>512</v>
      </c>
      <c r="AI29">
        <v>29</v>
      </c>
      <c r="AJ29">
        <v>592.30999999999995</v>
      </c>
      <c r="AK29">
        <v>0.18</v>
      </c>
      <c r="AL29">
        <v>579.4</v>
      </c>
      <c r="AM29">
        <v>1.2</v>
      </c>
      <c r="AN29" t="s">
        <v>523</v>
      </c>
      <c r="AO29" t="s">
        <v>876</v>
      </c>
      <c r="AP29" t="s">
        <v>512</v>
      </c>
      <c r="AQ29">
        <v>31</v>
      </c>
      <c r="AR29" t="s">
        <v>640</v>
      </c>
      <c r="AS29" t="s">
        <v>562</v>
      </c>
      <c r="AT29">
        <v>581</v>
      </c>
      <c r="AU29">
        <v>579</v>
      </c>
      <c r="AV29" t="s">
        <v>659</v>
      </c>
    </row>
    <row r="30" spans="1:48" x14ac:dyDescent="0.35">
      <c r="A30">
        <v>79</v>
      </c>
      <c r="B30" t="s">
        <v>403</v>
      </c>
      <c r="C30" t="s">
        <v>1526</v>
      </c>
      <c r="D30" s="8" t="s">
        <v>924</v>
      </c>
      <c r="E30" s="8" t="s">
        <v>446</v>
      </c>
      <c r="F30" s="30">
        <v>-53.379779999999997</v>
      </c>
      <c r="G30" s="30">
        <v>48.376618999999998</v>
      </c>
      <c r="H30" t="s">
        <v>511</v>
      </c>
      <c r="J30" s="4">
        <v>4</v>
      </c>
      <c r="K30" s="8" t="s">
        <v>1433</v>
      </c>
      <c r="L30" s="4">
        <v>4</v>
      </c>
      <c r="M30" s="8" t="s">
        <v>164</v>
      </c>
      <c r="N30" s="4">
        <v>4</v>
      </c>
      <c r="O30" s="10"/>
      <c r="P30" t="s">
        <v>512</v>
      </c>
      <c r="Q30" t="s">
        <v>878</v>
      </c>
      <c r="R30" s="5">
        <v>579.63</v>
      </c>
      <c r="S30" s="5">
        <v>0.15</v>
      </c>
      <c r="T30" s="5">
        <v>579.24</v>
      </c>
      <c r="U30" s="5">
        <v>0.17</v>
      </c>
      <c r="V30" t="s">
        <v>879</v>
      </c>
      <c r="W30" s="10"/>
      <c r="X30" t="s">
        <v>512</v>
      </c>
      <c r="Y30" t="s">
        <v>562</v>
      </c>
      <c r="Z30">
        <v>579.63</v>
      </c>
      <c r="AA30">
        <v>579.88</v>
      </c>
      <c r="AB30" t="s">
        <v>880</v>
      </c>
      <c r="AC30" t="s">
        <v>515</v>
      </c>
      <c r="AH30" t="s">
        <v>515</v>
      </c>
      <c r="AP30" t="s">
        <v>512</v>
      </c>
      <c r="AQ30">
        <v>35</v>
      </c>
      <c r="AR30" t="s">
        <v>525</v>
      </c>
      <c r="AS30" t="s">
        <v>562</v>
      </c>
      <c r="AT30">
        <v>581</v>
      </c>
      <c r="AU30">
        <v>579</v>
      </c>
    </row>
    <row r="31" spans="1:48" x14ac:dyDescent="0.35">
      <c r="A31">
        <v>85</v>
      </c>
      <c r="B31" t="s">
        <v>900</v>
      </c>
      <c r="D31" s="8" t="s">
        <v>924</v>
      </c>
      <c r="E31" s="8" t="s">
        <v>517</v>
      </c>
      <c r="F31" s="30">
        <v>96.1</v>
      </c>
      <c r="G31" s="30">
        <v>41.9</v>
      </c>
      <c r="H31" t="s">
        <v>511</v>
      </c>
      <c r="J31" s="4">
        <v>4</v>
      </c>
      <c r="K31" s="8" t="s">
        <v>1433</v>
      </c>
      <c r="L31" s="4">
        <v>4</v>
      </c>
      <c r="M31" t="s">
        <v>1418</v>
      </c>
      <c r="N31" s="4"/>
      <c r="P31" t="s">
        <v>515</v>
      </c>
      <c r="R31" s="5"/>
      <c r="S31" s="5"/>
      <c r="T31" s="5"/>
      <c r="U31" s="5"/>
      <c r="W31" s="10"/>
      <c r="X31" t="s">
        <v>515</v>
      </c>
      <c r="AC31" t="s">
        <v>515</v>
      </c>
      <c r="AH31" t="s">
        <v>515</v>
      </c>
      <c r="AP31" t="s">
        <v>512</v>
      </c>
      <c r="AQ31">
        <v>13</v>
      </c>
      <c r="AR31" t="s">
        <v>525</v>
      </c>
      <c r="AS31" t="s">
        <v>562</v>
      </c>
      <c r="AT31">
        <v>581</v>
      </c>
      <c r="AU31">
        <v>579</v>
      </c>
    </row>
    <row r="32" spans="1:48" x14ac:dyDescent="0.35">
      <c r="A32">
        <v>89</v>
      </c>
      <c r="B32" s="8" t="s">
        <v>915</v>
      </c>
      <c r="C32" s="8" t="s">
        <v>1459</v>
      </c>
      <c r="D32" s="8" t="s">
        <v>924</v>
      </c>
      <c r="E32" s="8" t="s">
        <v>464</v>
      </c>
      <c r="F32" s="30">
        <v>23.338792482180001</v>
      </c>
      <c r="G32" s="30">
        <v>51.607847863362203</v>
      </c>
      <c r="H32" s="8" t="s">
        <v>511</v>
      </c>
      <c r="I32" s="8" t="s">
        <v>541</v>
      </c>
      <c r="J32" s="9">
        <v>2</v>
      </c>
      <c r="K32" s="8" t="s">
        <v>1433</v>
      </c>
      <c r="L32" s="9">
        <v>2</v>
      </c>
      <c r="M32" s="8" t="s">
        <v>164</v>
      </c>
      <c r="N32" s="9">
        <v>2</v>
      </c>
      <c r="O32" s="10"/>
      <c r="P32" s="8" t="s">
        <v>512</v>
      </c>
      <c r="Q32" s="8" t="s">
        <v>916</v>
      </c>
      <c r="R32" s="11"/>
      <c r="S32" s="11"/>
      <c r="T32" s="11">
        <v>485.4</v>
      </c>
      <c r="U32" s="11">
        <v>1.9</v>
      </c>
      <c r="V32" s="10" t="s">
        <v>917</v>
      </c>
      <c r="W32" s="10"/>
      <c r="X32" s="8" t="s">
        <v>515</v>
      </c>
      <c r="Y32" s="8"/>
      <c r="Z32" s="8"/>
      <c r="AA32" s="8"/>
      <c r="AB32" s="8"/>
      <c r="AC32" s="8" t="s">
        <v>515</v>
      </c>
      <c r="AD32" s="12"/>
      <c r="AE32" s="12"/>
      <c r="AF32" s="12"/>
      <c r="AG32" s="12"/>
      <c r="AH32" t="s">
        <v>515</v>
      </c>
      <c r="AP32" t="s">
        <v>515</v>
      </c>
    </row>
    <row r="33" spans="1:48" x14ac:dyDescent="0.35">
      <c r="A33">
        <v>93</v>
      </c>
      <c r="B33" t="s">
        <v>1528</v>
      </c>
      <c r="C33" t="s">
        <v>1526</v>
      </c>
      <c r="D33" s="8" t="s">
        <v>924</v>
      </c>
      <c r="E33" s="8" t="s">
        <v>446</v>
      </c>
      <c r="F33" s="30">
        <v>-53.578495423021003</v>
      </c>
      <c r="G33" s="30">
        <v>48.357597752424802</v>
      </c>
      <c r="H33" s="8" t="s">
        <v>511</v>
      </c>
      <c r="I33" s="8" t="s">
        <v>1556</v>
      </c>
      <c r="J33" s="9">
        <v>4</v>
      </c>
      <c r="K33" s="8" t="s">
        <v>1433</v>
      </c>
      <c r="L33" s="8"/>
      <c r="M33" s="8" t="s">
        <v>1566</v>
      </c>
      <c r="N33" s="8"/>
      <c r="O33" s="10"/>
      <c r="P33" s="8" t="s">
        <v>515</v>
      </c>
      <c r="Q33" s="8"/>
      <c r="R33" s="8"/>
      <c r="S33" s="8"/>
      <c r="T33" s="8"/>
      <c r="U33" s="8"/>
      <c r="V33" s="10"/>
      <c r="W33" s="10"/>
      <c r="X33" s="8" t="s">
        <v>515</v>
      </c>
      <c r="Y33" s="8"/>
      <c r="Z33" s="8"/>
      <c r="AA33" s="8"/>
      <c r="AB33" s="8"/>
      <c r="AC33" s="8" t="s">
        <v>515</v>
      </c>
      <c r="AD33" s="8"/>
      <c r="AE33" s="8"/>
      <c r="AF33" s="10"/>
      <c r="AG33" s="10"/>
      <c r="AH33" s="8" t="s">
        <v>515</v>
      </c>
      <c r="AI33" s="10"/>
      <c r="AJ33" s="10"/>
      <c r="AK33" s="10"/>
      <c r="AL33" s="10"/>
      <c r="AM33" s="10"/>
      <c r="AN33" s="10"/>
      <c r="AO33" s="10"/>
      <c r="AP33" t="s">
        <v>515</v>
      </c>
      <c r="AQ33" s="10"/>
      <c r="AR33" s="10"/>
      <c r="AS33" s="10"/>
      <c r="AT33" s="10"/>
      <c r="AU33" s="10"/>
      <c r="AV33" s="10"/>
    </row>
    <row r="34" spans="1:48" x14ac:dyDescent="0.35">
      <c r="A34">
        <v>2</v>
      </c>
      <c r="B34" t="s">
        <v>516</v>
      </c>
      <c r="C34" t="s">
        <v>1377</v>
      </c>
      <c r="D34" t="s">
        <v>924</v>
      </c>
      <c r="E34" s="8" t="s">
        <v>517</v>
      </c>
      <c r="F34" s="30"/>
      <c r="G34" s="30"/>
      <c r="H34" t="s">
        <v>533</v>
      </c>
      <c r="I34" t="s">
        <v>1498</v>
      </c>
      <c r="J34" s="9">
        <v>4</v>
      </c>
      <c r="K34" s="8" t="s">
        <v>164</v>
      </c>
      <c r="L34" s="9">
        <v>4</v>
      </c>
      <c r="M34" s="8" t="s">
        <v>164</v>
      </c>
      <c r="N34" s="9">
        <v>4</v>
      </c>
      <c r="O34" s="10"/>
      <c r="P34" t="s">
        <v>512</v>
      </c>
      <c r="Q34" s="8" t="s">
        <v>519</v>
      </c>
      <c r="R34" s="11">
        <v>629</v>
      </c>
      <c r="S34" s="11">
        <v>8</v>
      </c>
      <c r="T34" s="11">
        <v>509</v>
      </c>
      <c r="U34" s="11">
        <v>5</v>
      </c>
      <c r="V34" s="10" t="s">
        <v>520</v>
      </c>
      <c r="W34" s="10"/>
      <c r="X34" t="s">
        <v>515</v>
      </c>
      <c r="AC34" t="s">
        <v>512</v>
      </c>
      <c r="AD34" t="s">
        <v>521</v>
      </c>
      <c r="AE34">
        <v>555</v>
      </c>
      <c r="AF34">
        <v>549</v>
      </c>
      <c r="AG34" t="s">
        <v>522</v>
      </c>
      <c r="AH34" t="s">
        <v>512</v>
      </c>
      <c r="AI34">
        <v>27</v>
      </c>
      <c r="AJ34">
        <v>560</v>
      </c>
      <c r="AL34">
        <v>560</v>
      </c>
      <c r="AN34" t="s">
        <v>523</v>
      </c>
      <c r="AO34" t="s">
        <v>524</v>
      </c>
      <c r="AP34" t="s">
        <v>512</v>
      </c>
      <c r="AQ34">
        <v>10</v>
      </c>
      <c r="AR34" t="s">
        <v>525</v>
      </c>
      <c r="AS34" t="s">
        <v>521</v>
      </c>
      <c r="AT34">
        <v>562</v>
      </c>
      <c r="AU34">
        <v>551</v>
      </c>
      <c r="AV34" t="s">
        <v>526</v>
      </c>
    </row>
    <row r="35" spans="1:48" x14ac:dyDescent="0.35">
      <c r="A35">
        <v>4</v>
      </c>
      <c r="B35" t="s">
        <v>532</v>
      </c>
      <c r="D35" t="s">
        <v>924</v>
      </c>
      <c r="E35" s="8" t="s">
        <v>450</v>
      </c>
      <c r="F35" s="30"/>
      <c r="G35" s="30"/>
      <c r="H35" t="s">
        <v>533</v>
      </c>
      <c r="J35" s="4">
        <v>3</v>
      </c>
      <c r="K35" s="8" t="s">
        <v>164</v>
      </c>
      <c r="L35" s="4">
        <v>3</v>
      </c>
      <c r="M35" s="8" t="s">
        <v>164</v>
      </c>
      <c r="N35" s="4">
        <v>3</v>
      </c>
      <c r="O35" s="10"/>
      <c r="P35" t="s">
        <v>512</v>
      </c>
      <c r="Q35" t="s">
        <v>534</v>
      </c>
      <c r="R35" s="5">
        <v>794</v>
      </c>
      <c r="S35" s="5">
        <v>4</v>
      </c>
      <c r="T35" s="5">
        <v>541</v>
      </c>
      <c r="U35" s="5">
        <v>1</v>
      </c>
      <c r="V35" t="s">
        <v>535</v>
      </c>
      <c r="W35" s="10"/>
      <c r="X35" t="s">
        <v>515</v>
      </c>
      <c r="AC35" t="s">
        <v>512</v>
      </c>
      <c r="AD35" t="s">
        <v>315</v>
      </c>
      <c r="AE35">
        <v>566</v>
      </c>
      <c r="AF35">
        <v>564</v>
      </c>
      <c r="AG35" t="s">
        <v>536</v>
      </c>
      <c r="AH35" t="s">
        <v>512</v>
      </c>
      <c r="AI35">
        <v>4</v>
      </c>
      <c r="AJ35">
        <v>562</v>
      </c>
      <c r="AN35" t="s">
        <v>523</v>
      </c>
      <c r="AO35" t="s">
        <v>537</v>
      </c>
      <c r="AP35" t="s">
        <v>512</v>
      </c>
      <c r="AQ35">
        <v>20</v>
      </c>
      <c r="AR35" t="s">
        <v>538</v>
      </c>
      <c r="AS35" t="s">
        <v>315</v>
      </c>
      <c r="AT35">
        <v>565</v>
      </c>
      <c r="AU35">
        <v>560</v>
      </c>
    </row>
    <row r="36" spans="1:48" x14ac:dyDescent="0.35">
      <c r="A36">
        <v>16</v>
      </c>
      <c r="B36" t="s">
        <v>592</v>
      </c>
      <c r="D36" s="8" t="s">
        <v>924</v>
      </c>
      <c r="E36" s="8" t="s">
        <v>447</v>
      </c>
      <c r="F36" s="30"/>
      <c r="G36" s="30"/>
      <c r="H36" t="s">
        <v>533</v>
      </c>
      <c r="J36" s="9">
        <v>3</v>
      </c>
      <c r="K36" s="8" t="s">
        <v>164</v>
      </c>
      <c r="L36" s="9">
        <v>3</v>
      </c>
      <c r="M36" s="8" t="s">
        <v>164</v>
      </c>
      <c r="N36" s="9">
        <v>3</v>
      </c>
      <c r="O36" s="10"/>
      <c r="P36" s="8" t="s">
        <v>512</v>
      </c>
      <c r="Q36" s="8" t="s">
        <v>593</v>
      </c>
      <c r="R36" s="11">
        <v>570</v>
      </c>
      <c r="S36" s="11">
        <v>4.5999999999999996</v>
      </c>
      <c r="T36" s="11">
        <v>560</v>
      </c>
      <c r="U36" s="11">
        <v>4</v>
      </c>
      <c r="V36" s="10" t="s">
        <v>594</v>
      </c>
      <c r="W36" s="10"/>
      <c r="X36" t="s">
        <v>512</v>
      </c>
      <c r="Y36" t="s">
        <v>595</v>
      </c>
      <c r="Z36">
        <v>570</v>
      </c>
      <c r="AB36" t="s">
        <v>596</v>
      </c>
      <c r="AC36" t="s">
        <v>515</v>
      </c>
      <c r="AH36" t="s">
        <v>512</v>
      </c>
      <c r="AI36">
        <v>2</v>
      </c>
      <c r="AJ36">
        <v>560</v>
      </c>
      <c r="AN36" t="s">
        <v>523</v>
      </c>
      <c r="AO36" t="s">
        <v>597</v>
      </c>
      <c r="AP36" t="s">
        <v>512</v>
      </c>
      <c r="AQ36">
        <v>25</v>
      </c>
      <c r="AR36" t="s">
        <v>525</v>
      </c>
      <c r="AS36" t="s">
        <v>315</v>
      </c>
      <c r="AT36">
        <v>565</v>
      </c>
      <c r="AU36">
        <v>560</v>
      </c>
      <c r="AV36" t="s">
        <v>598</v>
      </c>
    </row>
    <row r="37" spans="1:48" x14ac:dyDescent="0.35">
      <c r="A37">
        <v>28</v>
      </c>
      <c r="B37" t="s">
        <v>650</v>
      </c>
      <c r="D37" s="8" t="s">
        <v>924</v>
      </c>
      <c r="E37" s="8" t="s">
        <v>461</v>
      </c>
      <c r="F37" s="30"/>
      <c r="G37" s="30"/>
      <c r="H37" s="8" t="s">
        <v>533</v>
      </c>
      <c r="J37" s="9">
        <v>3</v>
      </c>
      <c r="K37" s="8" t="s">
        <v>164</v>
      </c>
      <c r="L37" s="9">
        <v>3</v>
      </c>
      <c r="M37" s="8" t="s">
        <v>164</v>
      </c>
      <c r="N37" s="9">
        <v>3</v>
      </c>
      <c r="O37" s="10"/>
      <c r="P37" s="8" t="s">
        <v>512</v>
      </c>
      <c r="Q37" s="8" t="s">
        <v>651</v>
      </c>
      <c r="R37" s="11"/>
      <c r="S37" s="11"/>
      <c r="T37" s="11">
        <v>617</v>
      </c>
      <c r="U37" s="11">
        <v>12</v>
      </c>
      <c r="V37" s="10" t="s">
        <v>652</v>
      </c>
      <c r="W37" s="10"/>
      <c r="X37" t="s">
        <v>512</v>
      </c>
      <c r="Y37" t="s">
        <v>145</v>
      </c>
      <c r="AB37" t="s">
        <v>572</v>
      </c>
      <c r="AC37" t="s">
        <v>515</v>
      </c>
      <c r="AH37" t="s">
        <v>515</v>
      </c>
      <c r="AP37" t="s">
        <v>512</v>
      </c>
      <c r="AQ37">
        <v>27</v>
      </c>
      <c r="AR37" t="s">
        <v>525</v>
      </c>
      <c r="AS37" t="s">
        <v>315</v>
      </c>
      <c r="AT37">
        <v>565</v>
      </c>
      <c r="AU37">
        <v>560</v>
      </c>
    </row>
    <row r="38" spans="1:48" x14ac:dyDescent="0.35">
      <c r="A38">
        <v>30</v>
      </c>
      <c r="B38" t="s">
        <v>660</v>
      </c>
      <c r="C38" t="s">
        <v>661</v>
      </c>
      <c r="D38" s="8" t="s">
        <v>924</v>
      </c>
      <c r="E38" s="8" t="s">
        <v>662</v>
      </c>
      <c r="F38" s="30"/>
      <c r="G38" s="30"/>
      <c r="H38" t="s">
        <v>533</v>
      </c>
      <c r="J38" s="9">
        <v>3</v>
      </c>
      <c r="K38" s="10" t="s">
        <v>1431</v>
      </c>
      <c r="L38" s="9">
        <v>3</v>
      </c>
      <c r="M38" s="10" t="s">
        <v>1413</v>
      </c>
      <c r="N38" s="9">
        <v>2</v>
      </c>
      <c r="O38" s="10"/>
      <c r="P38" s="8" t="s">
        <v>512</v>
      </c>
      <c r="Q38" s="8" t="s">
        <v>663</v>
      </c>
      <c r="R38" s="11">
        <v>615</v>
      </c>
      <c r="S38" s="11">
        <v>6</v>
      </c>
      <c r="T38" s="11">
        <v>541</v>
      </c>
      <c r="U38" s="11">
        <v>1</v>
      </c>
      <c r="V38" s="10" t="s">
        <v>664</v>
      </c>
      <c r="W38" s="10"/>
      <c r="X38" t="s">
        <v>512</v>
      </c>
      <c r="AB38" t="s">
        <v>572</v>
      </c>
      <c r="AC38" t="s">
        <v>512</v>
      </c>
      <c r="AD38" t="s">
        <v>521</v>
      </c>
      <c r="AE38">
        <v>555</v>
      </c>
      <c r="AF38">
        <v>549</v>
      </c>
      <c r="AG38" t="s">
        <v>522</v>
      </c>
      <c r="AH38" t="s">
        <v>512</v>
      </c>
      <c r="AI38">
        <v>28</v>
      </c>
      <c r="AJ38">
        <v>562</v>
      </c>
      <c r="AN38" t="s">
        <v>523</v>
      </c>
      <c r="AO38" t="s">
        <v>665</v>
      </c>
      <c r="AP38" t="s">
        <v>512</v>
      </c>
      <c r="AQ38">
        <v>14</v>
      </c>
      <c r="AR38" t="s">
        <v>666</v>
      </c>
      <c r="AS38" t="s">
        <v>521</v>
      </c>
      <c r="AT38">
        <v>562</v>
      </c>
      <c r="AU38">
        <v>551</v>
      </c>
    </row>
    <row r="39" spans="1:48" x14ac:dyDescent="0.35">
      <c r="A39">
        <v>32</v>
      </c>
      <c r="B39" t="s">
        <v>671</v>
      </c>
      <c r="D39" s="8" t="s">
        <v>924</v>
      </c>
      <c r="E39" s="8" t="s">
        <v>672</v>
      </c>
      <c r="F39" s="30"/>
      <c r="G39" s="30"/>
      <c r="H39" t="s">
        <v>533</v>
      </c>
      <c r="I39" t="s">
        <v>673</v>
      </c>
      <c r="J39" s="9">
        <v>0</v>
      </c>
      <c r="K39" s="8" t="s">
        <v>1576</v>
      </c>
      <c r="L39" s="9">
        <v>0</v>
      </c>
      <c r="M39" s="8" t="s">
        <v>164</v>
      </c>
      <c r="N39" s="9">
        <v>0</v>
      </c>
      <c r="O39" s="10"/>
      <c r="P39" s="8" t="s">
        <v>512</v>
      </c>
      <c r="Q39" s="8" t="s">
        <v>674</v>
      </c>
      <c r="R39" s="11">
        <v>1640</v>
      </c>
      <c r="S39" s="11">
        <v>15</v>
      </c>
      <c r="T39" s="11">
        <v>509</v>
      </c>
      <c r="U39" s="11">
        <v>5</v>
      </c>
      <c r="V39" s="10" t="s">
        <v>675</v>
      </c>
      <c r="W39" s="10"/>
      <c r="X39" t="s">
        <v>515</v>
      </c>
      <c r="AC39" t="s">
        <v>512</v>
      </c>
      <c r="AD39" t="s">
        <v>521</v>
      </c>
      <c r="AE39">
        <v>555</v>
      </c>
      <c r="AF39">
        <v>549</v>
      </c>
      <c r="AG39" t="s">
        <v>522</v>
      </c>
      <c r="AH39" t="s">
        <v>512</v>
      </c>
      <c r="AI39">
        <v>17</v>
      </c>
      <c r="AJ39">
        <v>560</v>
      </c>
      <c r="AL39">
        <v>560</v>
      </c>
      <c r="AN39" t="s">
        <v>523</v>
      </c>
      <c r="AO39" t="s">
        <v>676</v>
      </c>
      <c r="AP39" t="s">
        <v>512</v>
      </c>
      <c r="AQ39">
        <v>16</v>
      </c>
      <c r="AR39" t="s">
        <v>677</v>
      </c>
      <c r="AS39" t="s">
        <v>521</v>
      </c>
      <c r="AT39">
        <v>562</v>
      </c>
      <c r="AU39">
        <v>551</v>
      </c>
    </row>
    <row r="40" spans="1:48" x14ac:dyDescent="0.35">
      <c r="A40">
        <v>33</v>
      </c>
      <c r="B40" s="8" t="s">
        <v>678</v>
      </c>
      <c r="C40" s="8" t="s">
        <v>679</v>
      </c>
      <c r="D40" s="8" t="s">
        <v>924</v>
      </c>
      <c r="E40" s="8" t="s">
        <v>464</v>
      </c>
      <c r="F40" s="30"/>
      <c r="G40" s="30"/>
      <c r="H40" s="8" t="s">
        <v>533</v>
      </c>
      <c r="I40" s="8"/>
      <c r="J40" s="9">
        <v>3</v>
      </c>
      <c r="K40" s="8" t="s">
        <v>1431</v>
      </c>
      <c r="L40" s="9">
        <v>3</v>
      </c>
      <c r="M40" s="8" t="s">
        <v>1562</v>
      </c>
      <c r="N40" s="9">
        <v>1</v>
      </c>
      <c r="O40" s="10"/>
      <c r="P40" s="8" t="s">
        <v>512</v>
      </c>
      <c r="Q40" s="8" t="s">
        <v>680</v>
      </c>
      <c r="R40" s="11">
        <v>1018</v>
      </c>
      <c r="S40" s="11">
        <v>20</v>
      </c>
      <c r="T40" s="11">
        <v>573</v>
      </c>
      <c r="U40" s="11">
        <v>14</v>
      </c>
      <c r="V40" s="10" t="s">
        <v>681</v>
      </c>
      <c r="W40" s="10"/>
      <c r="X40" s="8" t="s">
        <v>515</v>
      </c>
      <c r="AC40" s="8" t="s">
        <v>515</v>
      </c>
      <c r="AH40" t="s">
        <v>515</v>
      </c>
      <c r="AP40" t="s">
        <v>515</v>
      </c>
    </row>
    <row r="41" spans="1:48" x14ac:dyDescent="0.35">
      <c r="A41">
        <v>39</v>
      </c>
      <c r="B41" t="s">
        <v>708</v>
      </c>
      <c r="D41" s="8" t="s">
        <v>924</v>
      </c>
      <c r="E41" s="8" t="s">
        <v>619</v>
      </c>
      <c r="F41" s="30"/>
      <c r="G41" s="30"/>
      <c r="H41" t="s">
        <v>533</v>
      </c>
      <c r="J41" s="4">
        <v>3</v>
      </c>
      <c r="K41" s="8" t="s">
        <v>164</v>
      </c>
      <c r="L41" s="4">
        <v>3</v>
      </c>
      <c r="M41" s="8" t="s">
        <v>164</v>
      </c>
      <c r="N41" s="4">
        <v>3</v>
      </c>
      <c r="O41" s="10"/>
      <c r="P41" t="s">
        <v>512</v>
      </c>
      <c r="Q41" t="s">
        <v>709</v>
      </c>
      <c r="R41" s="5">
        <v>550.29999999999995</v>
      </c>
      <c r="S41" s="5">
        <v>3.6</v>
      </c>
      <c r="T41" s="5">
        <v>541</v>
      </c>
      <c r="U41" s="5">
        <v>1</v>
      </c>
      <c r="V41" t="s">
        <v>710</v>
      </c>
      <c r="W41" s="10"/>
      <c r="X41" t="s">
        <v>512</v>
      </c>
      <c r="Y41" t="s">
        <v>595</v>
      </c>
      <c r="AA41">
        <v>559</v>
      </c>
      <c r="AB41" t="s">
        <v>711</v>
      </c>
      <c r="AC41" t="s">
        <v>515</v>
      </c>
      <c r="AH41" t="s">
        <v>512</v>
      </c>
      <c r="AI41">
        <v>18</v>
      </c>
      <c r="AJ41">
        <v>563.1</v>
      </c>
      <c r="AK41">
        <v>3.9</v>
      </c>
      <c r="AN41" t="s">
        <v>523</v>
      </c>
      <c r="AO41" t="s">
        <v>712</v>
      </c>
      <c r="AP41" t="s">
        <v>512</v>
      </c>
      <c r="AQ41">
        <v>26</v>
      </c>
      <c r="AR41" t="s">
        <v>525</v>
      </c>
      <c r="AS41" t="s">
        <v>315</v>
      </c>
      <c r="AT41">
        <v>565</v>
      </c>
      <c r="AU41">
        <v>560</v>
      </c>
      <c r="AV41" t="s">
        <v>713</v>
      </c>
    </row>
    <row r="42" spans="1:48" x14ac:dyDescent="0.35">
      <c r="A42">
        <v>48</v>
      </c>
      <c r="B42" t="s">
        <v>753</v>
      </c>
      <c r="C42" t="s">
        <v>754</v>
      </c>
      <c r="D42" s="8" t="s">
        <v>924</v>
      </c>
      <c r="E42" s="8" t="s">
        <v>755</v>
      </c>
      <c r="F42" s="30"/>
      <c r="G42" s="30"/>
      <c r="H42" t="s">
        <v>533</v>
      </c>
      <c r="I42" s="8" t="s">
        <v>756</v>
      </c>
      <c r="J42" s="9">
        <v>4</v>
      </c>
      <c r="K42" s="8" t="s">
        <v>164</v>
      </c>
      <c r="L42" s="9">
        <v>4</v>
      </c>
      <c r="M42" s="8" t="s">
        <v>164</v>
      </c>
      <c r="N42" s="9">
        <v>4</v>
      </c>
      <c r="O42" s="10"/>
      <c r="P42" s="8" t="s">
        <v>512</v>
      </c>
      <c r="Q42" s="8" t="s">
        <v>757</v>
      </c>
      <c r="R42" s="11">
        <v>645</v>
      </c>
      <c r="S42" s="11">
        <v>28</v>
      </c>
      <c r="T42" s="11">
        <v>509</v>
      </c>
      <c r="U42" s="11">
        <v>5</v>
      </c>
      <c r="V42" s="10" t="s">
        <v>758</v>
      </c>
      <c r="W42" s="10"/>
      <c r="X42" t="s">
        <v>512</v>
      </c>
      <c r="AB42" t="s">
        <v>572</v>
      </c>
      <c r="AC42" t="s">
        <v>512</v>
      </c>
      <c r="AD42" t="s">
        <v>521</v>
      </c>
      <c r="AE42">
        <v>555</v>
      </c>
      <c r="AF42">
        <v>549</v>
      </c>
      <c r="AG42" t="s">
        <v>522</v>
      </c>
      <c r="AH42" t="s">
        <v>512</v>
      </c>
      <c r="AI42">
        <v>23</v>
      </c>
      <c r="AJ42">
        <v>560</v>
      </c>
      <c r="AL42">
        <v>560</v>
      </c>
      <c r="AN42" t="s">
        <v>523</v>
      </c>
      <c r="AO42" t="s">
        <v>759</v>
      </c>
      <c r="AP42" t="s">
        <v>512</v>
      </c>
      <c r="AQ42">
        <v>17</v>
      </c>
      <c r="AR42" t="s">
        <v>677</v>
      </c>
      <c r="AS42" t="s">
        <v>521</v>
      </c>
      <c r="AT42">
        <v>562</v>
      </c>
      <c r="AU42">
        <v>551</v>
      </c>
      <c r="AV42" t="s">
        <v>760</v>
      </c>
    </row>
    <row r="43" spans="1:48" x14ac:dyDescent="0.35">
      <c r="A43">
        <v>54</v>
      </c>
      <c r="B43" t="s">
        <v>773</v>
      </c>
      <c r="D43" s="8" t="s">
        <v>924</v>
      </c>
      <c r="E43" s="8" t="s">
        <v>464</v>
      </c>
      <c r="F43" s="30"/>
      <c r="G43" s="30"/>
      <c r="H43" t="s">
        <v>533</v>
      </c>
      <c r="I43" t="s">
        <v>774</v>
      </c>
      <c r="J43" s="4">
        <v>4</v>
      </c>
      <c r="K43" s="8" t="s">
        <v>164</v>
      </c>
      <c r="L43" s="4">
        <v>4</v>
      </c>
      <c r="M43" s="8" t="s">
        <v>164</v>
      </c>
      <c r="N43" s="4">
        <v>4</v>
      </c>
      <c r="O43" s="10"/>
      <c r="P43" t="s">
        <v>512</v>
      </c>
      <c r="Q43" t="s">
        <v>775</v>
      </c>
      <c r="R43" s="5">
        <v>620</v>
      </c>
      <c r="S43" s="5">
        <v>14</v>
      </c>
      <c r="T43" s="5">
        <v>612</v>
      </c>
      <c r="U43" s="5">
        <v>18</v>
      </c>
      <c r="V43" t="s">
        <v>776</v>
      </c>
      <c r="W43" s="10"/>
      <c r="X43" t="s">
        <v>512</v>
      </c>
      <c r="Y43" t="s">
        <v>777</v>
      </c>
      <c r="Z43">
        <v>560.6</v>
      </c>
      <c r="AB43" t="s">
        <v>778</v>
      </c>
      <c r="AC43" t="s">
        <v>515</v>
      </c>
      <c r="AG43" t="s">
        <v>779</v>
      </c>
      <c r="AH43" t="s">
        <v>512</v>
      </c>
      <c r="AI43">
        <v>12</v>
      </c>
      <c r="AJ43">
        <v>620</v>
      </c>
      <c r="AL43">
        <v>560</v>
      </c>
      <c r="AN43" t="s">
        <v>523</v>
      </c>
      <c r="AO43" t="s">
        <v>780</v>
      </c>
      <c r="AP43" t="s">
        <v>512</v>
      </c>
      <c r="AQ43">
        <v>2</v>
      </c>
      <c r="AR43" t="s">
        <v>538</v>
      </c>
      <c r="AS43" t="s">
        <v>562</v>
      </c>
      <c r="AT43">
        <v>581</v>
      </c>
      <c r="AU43">
        <v>579</v>
      </c>
      <c r="AV43" t="s">
        <v>659</v>
      </c>
    </row>
    <row r="44" spans="1:48" x14ac:dyDescent="0.35">
      <c r="A44">
        <v>55</v>
      </c>
      <c r="B44" t="s">
        <v>781</v>
      </c>
      <c r="D44" s="8" t="s">
        <v>924</v>
      </c>
      <c r="E44" s="8" t="s">
        <v>464</v>
      </c>
      <c r="F44" s="30"/>
      <c r="G44" s="30"/>
      <c r="H44" t="s">
        <v>533</v>
      </c>
      <c r="I44" s="8" t="s">
        <v>1458</v>
      </c>
      <c r="J44" s="4">
        <v>3</v>
      </c>
      <c r="K44" s="8" t="s">
        <v>164</v>
      </c>
      <c r="L44" s="4">
        <v>3</v>
      </c>
      <c r="M44" s="8" t="s">
        <v>164</v>
      </c>
      <c r="N44" s="4">
        <v>3</v>
      </c>
      <c r="O44" s="10"/>
      <c r="P44" t="s">
        <v>512</v>
      </c>
      <c r="Q44" t="s">
        <v>782</v>
      </c>
      <c r="R44" s="5">
        <v>654</v>
      </c>
      <c r="S44" s="5">
        <v>7</v>
      </c>
      <c r="T44" s="5">
        <v>560</v>
      </c>
      <c r="U44" s="5">
        <v>0.01</v>
      </c>
      <c r="V44" t="s">
        <v>783</v>
      </c>
      <c r="W44" s="10"/>
      <c r="X44" t="s">
        <v>512</v>
      </c>
      <c r="Y44" t="s">
        <v>777</v>
      </c>
      <c r="AB44" t="s">
        <v>572</v>
      </c>
      <c r="AC44" t="s">
        <v>515</v>
      </c>
      <c r="AG44" t="s">
        <v>779</v>
      </c>
      <c r="AH44" t="s">
        <v>512</v>
      </c>
      <c r="AI44">
        <v>11</v>
      </c>
      <c r="AJ44">
        <v>630</v>
      </c>
      <c r="AL44">
        <v>560</v>
      </c>
      <c r="AN44" t="s">
        <v>523</v>
      </c>
      <c r="AO44" t="s">
        <v>784</v>
      </c>
      <c r="AP44" t="s">
        <v>512</v>
      </c>
      <c r="AQ44">
        <v>1</v>
      </c>
      <c r="AR44" t="s">
        <v>525</v>
      </c>
      <c r="AS44" t="s">
        <v>562</v>
      </c>
      <c r="AT44">
        <v>581</v>
      </c>
      <c r="AU44">
        <v>579</v>
      </c>
      <c r="AV44" t="s">
        <v>659</v>
      </c>
    </row>
    <row r="45" spans="1:48" x14ac:dyDescent="0.35">
      <c r="A45">
        <v>62</v>
      </c>
      <c r="B45" t="s">
        <v>809</v>
      </c>
      <c r="C45" t="s">
        <v>810</v>
      </c>
      <c r="D45" s="8" t="s">
        <v>924</v>
      </c>
      <c r="E45" s="8" t="s">
        <v>461</v>
      </c>
      <c r="F45" s="30"/>
      <c r="G45" s="30"/>
      <c r="H45" t="s">
        <v>533</v>
      </c>
      <c r="J45" s="9">
        <v>2</v>
      </c>
      <c r="K45" s="8" t="s">
        <v>164</v>
      </c>
      <c r="L45" s="9">
        <v>2</v>
      </c>
      <c r="M45" s="8" t="s">
        <v>164</v>
      </c>
      <c r="N45" s="9">
        <v>2</v>
      </c>
      <c r="O45" s="10"/>
      <c r="P45" s="8" t="s">
        <v>512</v>
      </c>
      <c r="Q45" s="8" t="s">
        <v>811</v>
      </c>
      <c r="R45" s="11">
        <v>565</v>
      </c>
      <c r="S45" s="11">
        <v>4</v>
      </c>
      <c r="T45" s="11">
        <v>485.4</v>
      </c>
      <c r="U45" s="11">
        <v>1.9</v>
      </c>
      <c r="V45" s="10" t="s">
        <v>812</v>
      </c>
      <c r="W45" s="10"/>
      <c r="X45" t="s">
        <v>512</v>
      </c>
      <c r="Y45" t="s">
        <v>796</v>
      </c>
      <c r="Z45">
        <v>569</v>
      </c>
      <c r="AA45">
        <v>560</v>
      </c>
      <c r="AB45" t="s">
        <v>797</v>
      </c>
      <c r="AC45" t="s">
        <v>512</v>
      </c>
      <c r="AD45" t="s">
        <v>315</v>
      </c>
      <c r="AE45">
        <v>566</v>
      </c>
      <c r="AF45">
        <v>564</v>
      </c>
      <c r="AG45" t="s">
        <v>536</v>
      </c>
      <c r="AH45" t="s">
        <v>512</v>
      </c>
      <c r="AI45">
        <v>16</v>
      </c>
      <c r="AJ45">
        <v>565</v>
      </c>
      <c r="AL45">
        <v>540</v>
      </c>
      <c r="AN45" t="s">
        <v>523</v>
      </c>
      <c r="AO45" t="s">
        <v>574</v>
      </c>
      <c r="AP45" t="s">
        <v>512</v>
      </c>
      <c r="AQ45">
        <v>29</v>
      </c>
      <c r="AR45" t="s">
        <v>525</v>
      </c>
      <c r="AS45" t="s">
        <v>315</v>
      </c>
      <c r="AT45">
        <v>565</v>
      </c>
      <c r="AU45">
        <v>560</v>
      </c>
    </row>
    <row r="46" spans="1:48" x14ac:dyDescent="0.35">
      <c r="A46">
        <v>63</v>
      </c>
      <c r="B46" t="s">
        <v>813</v>
      </c>
      <c r="D46" s="8" t="s">
        <v>924</v>
      </c>
      <c r="E46" s="8" t="s">
        <v>460</v>
      </c>
      <c r="F46" s="30"/>
      <c r="G46" s="30"/>
      <c r="H46" s="8" t="s">
        <v>533</v>
      </c>
      <c r="I46" s="8"/>
      <c r="J46" s="4">
        <v>4</v>
      </c>
      <c r="K46" s="10" t="s">
        <v>1431</v>
      </c>
      <c r="L46" s="4">
        <v>4</v>
      </c>
      <c r="M46" s="10" t="s">
        <v>1414</v>
      </c>
      <c r="N46" s="4">
        <v>3</v>
      </c>
      <c r="O46" s="10"/>
      <c r="P46" s="8" t="s">
        <v>512</v>
      </c>
      <c r="Q46" t="s">
        <v>704</v>
      </c>
      <c r="R46" s="5">
        <v>592.30999999999995</v>
      </c>
      <c r="S46" s="5">
        <v>0.18</v>
      </c>
      <c r="T46" s="5">
        <v>574.9</v>
      </c>
      <c r="U46" s="5">
        <v>3</v>
      </c>
      <c r="V46" t="s">
        <v>705</v>
      </c>
      <c r="W46" t="s">
        <v>814</v>
      </c>
      <c r="X46" t="s">
        <v>512</v>
      </c>
      <c r="Y46" t="s">
        <v>315</v>
      </c>
      <c r="Z46">
        <v>579.4</v>
      </c>
      <c r="AA46">
        <v>578.6</v>
      </c>
      <c r="AB46" t="s">
        <v>815</v>
      </c>
      <c r="AC46" t="s">
        <v>512</v>
      </c>
      <c r="AD46" t="s">
        <v>315</v>
      </c>
      <c r="AE46">
        <v>566</v>
      </c>
      <c r="AF46">
        <v>564</v>
      </c>
      <c r="AG46" t="s">
        <v>536</v>
      </c>
      <c r="AH46" t="s">
        <v>512</v>
      </c>
      <c r="AI46">
        <v>30</v>
      </c>
      <c r="AJ46">
        <v>565</v>
      </c>
      <c r="AK46">
        <v>6</v>
      </c>
      <c r="AL46">
        <v>561</v>
      </c>
      <c r="AM46">
        <v>9.5</v>
      </c>
      <c r="AN46" t="s">
        <v>523</v>
      </c>
      <c r="AO46" t="s">
        <v>816</v>
      </c>
      <c r="AP46" t="s">
        <v>512</v>
      </c>
      <c r="AQ46">
        <v>30</v>
      </c>
      <c r="AR46" t="s">
        <v>525</v>
      </c>
      <c r="AS46" t="s">
        <v>315</v>
      </c>
      <c r="AT46">
        <v>565</v>
      </c>
      <c r="AU46">
        <v>560</v>
      </c>
    </row>
    <row r="47" spans="1:48" x14ac:dyDescent="0.35">
      <c r="A47">
        <v>78</v>
      </c>
      <c r="B47" t="s">
        <v>877</v>
      </c>
      <c r="D47" s="8" t="s">
        <v>924</v>
      </c>
      <c r="E47" s="8" t="s">
        <v>446</v>
      </c>
      <c r="F47" s="30"/>
      <c r="G47" s="30"/>
      <c r="H47" t="s">
        <v>533</v>
      </c>
      <c r="I47" s="8"/>
      <c r="J47" s="4"/>
      <c r="K47" s="10" t="s">
        <v>1434</v>
      </c>
      <c r="L47" s="4">
        <v>0</v>
      </c>
      <c r="M47" s="10" t="s">
        <v>1577</v>
      </c>
      <c r="N47" s="4"/>
      <c r="O47" s="10"/>
      <c r="P47" t="s">
        <v>515</v>
      </c>
      <c r="R47" s="4"/>
      <c r="S47" s="4"/>
      <c r="T47" s="4"/>
      <c r="U47" s="4"/>
      <c r="W47" s="10"/>
      <c r="X47" t="s">
        <v>515</v>
      </c>
      <c r="AC47" t="s">
        <v>512</v>
      </c>
      <c r="AD47" t="s">
        <v>521</v>
      </c>
      <c r="AE47">
        <v>555</v>
      </c>
      <c r="AF47">
        <v>549</v>
      </c>
      <c r="AG47" t="s">
        <v>522</v>
      </c>
      <c r="AH47" t="s">
        <v>515</v>
      </c>
      <c r="AP47" t="s">
        <v>512</v>
      </c>
      <c r="AQ47">
        <v>39</v>
      </c>
      <c r="AR47" t="s">
        <v>538</v>
      </c>
      <c r="AS47" t="s">
        <v>521</v>
      </c>
      <c r="AT47">
        <v>562</v>
      </c>
      <c r="AU47">
        <v>551</v>
      </c>
    </row>
    <row r="48" spans="1:48" x14ac:dyDescent="0.35">
      <c r="A48">
        <v>87</v>
      </c>
      <c r="B48" t="s">
        <v>904</v>
      </c>
      <c r="C48" t="s">
        <v>905</v>
      </c>
      <c r="D48" s="8" t="s">
        <v>924</v>
      </c>
      <c r="E48" s="8" t="s">
        <v>517</v>
      </c>
      <c r="F48" s="30"/>
      <c r="G48" s="30"/>
      <c r="H48" s="8" t="s">
        <v>533</v>
      </c>
      <c r="I48" s="8"/>
      <c r="J48" s="4">
        <v>4</v>
      </c>
      <c r="K48" s="8" t="s">
        <v>164</v>
      </c>
      <c r="L48" s="4">
        <v>4</v>
      </c>
      <c r="M48" s="8" t="s">
        <v>164</v>
      </c>
      <c r="N48" s="4">
        <v>4</v>
      </c>
      <c r="O48" s="10"/>
      <c r="P48" t="s">
        <v>512</v>
      </c>
      <c r="Q48" t="s">
        <v>906</v>
      </c>
      <c r="R48" s="5">
        <v>718</v>
      </c>
      <c r="S48" s="5">
        <v>30</v>
      </c>
      <c r="T48" s="5">
        <v>509</v>
      </c>
      <c r="U48" s="5">
        <v>5</v>
      </c>
      <c r="V48" t="s">
        <v>907</v>
      </c>
      <c r="W48" s="10"/>
      <c r="X48" t="s">
        <v>515</v>
      </c>
      <c r="AC48" t="s">
        <v>515</v>
      </c>
      <c r="AH48" t="s">
        <v>512</v>
      </c>
      <c r="AI48">
        <v>26</v>
      </c>
      <c r="AJ48">
        <v>560</v>
      </c>
      <c r="AL48">
        <v>560</v>
      </c>
      <c r="AN48" t="s">
        <v>523</v>
      </c>
      <c r="AO48" t="s">
        <v>908</v>
      </c>
      <c r="AP48" t="s">
        <v>512</v>
      </c>
      <c r="AQ48">
        <v>8</v>
      </c>
      <c r="AR48" t="s">
        <v>538</v>
      </c>
      <c r="AS48" t="s">
        <v>521</v>
      </c>
      <c r="AT48">
        <v>562</v>
      </c>
      <c r="AU48">
        <v>551</v>
      </c>
      <c r="AV48" t="s">
        <v>526</v>
      </c>
    </row>
    <row r="49" spans="1:48" x14ac:dyDescent="0.35">
      <c r="A49">
        <v>88</v>
      </c>
      <c r="B49" t="s">
        <v>909</v>
      </c>
      <c r="C49" t="s">
        <v>910</v>
      </c>
      <c r="D49" s="8" t="s">
        <v>924</v>
      </c>
      <c r="E49" s="8" t="s">
        <v>755</v>
      </c>
      <c r="F49" s="30"/>
      <c r="G49" s="30"/>
      <c r="H49" s="8" t="s">
        <v>533</v>
      </c>
      <c r="I49" s="8" t="s">
        <v>911</v>
      </c>
      <c r="J49" s="9">
        <v>3</v>
      </c>
      <c r="K49" s="10" t="s">
        <v>1431</v>
      </c>
      <c r="L49" s="9">
        <v>3</v>
      </c>
      <c r="M49" s="10" t="s">
        <v>1415</v>
      </c>
      <c r="N49" s="9">
        <v>2</v>
      </c>
      <c r="O49" s="10"/>
      <c r="P49" s="8" t="s">
        <v>512</v>
      </c>
      <c r="Q49" s="8" t="s">
        <v>912</v>
      </c>
      <c r="R49" s="11">
        <v>818</v>
      </c>
      <c r="S49" s="11">
        <v>4</v>
      </c>
      <c r="T49" s="11">
        <v>509</v>
      </c>
      <c r="U49" s="11">
        <v>5</v>
      </c>
      <c r="V49" s="10" t="s">
        <v>913</v>
      </c>
      <c r="W49" s="10"/>
      <c r="X49" t="s">
        <v>515</v>
      </c>
      <c r="AB49" t="s">
        <v>914</v>
      </c>
      <c r="AC49" t="s">
        <v>512</v>
      </c>
      <c r="AD49" t="s">
        <v>521</v>
      </c>
      <c r="AE49">
        <v>555</v>
      </c>
      <c r="AF49">
        <v>549</v>
      </c>
      <c r="AG49" t="s">
        <v>522</v>
      </c>
      <c r="AH49" t="s">
        <v>512</v>
      </c>
      <c r="AI49">
        <v>23</v>
      </c>
      <c r="AJ49">
        <v>560</v>
      </c>
      <c r="AL49">
        <v>560</v>
      </c>
      <c r="AN49" t="s">
        <v>523</v>
      </c>
      <c r="AO49" t="s">
        <v>759</v>
      </c>
      <c r="AP49" t="s">
        <v>512</v>
      </c>
      <c r="AQ49">
        <v>16</v>
      </c>
      <c r="AR49" t="s">
        <v>677</v>
      </c>
      <c r="AS49" t="s">
        <v>521</v>
      </c>
      <c r="AT49">
        <v>562</v>
      </c>
      <c r="AU49">
        <v>551</v>
      </c>
      <c r="AV49" t="s">
        <v>760</v>
      </c>
    </row>
    <row r="50" spans="1:48" x14ac:dyDescent="0.35">
      <c r="A50">
        <v>20</v>
      </c>
      <c r="B50" t="s">
        <v>606</v>
      </c>
      <c r="D50" s="8" t="s">
        <v>924</v>
      </c>
      <c r="E50" s="8" t="s">
        <v>450</v>
      </c>
      <c r="F50" s="30">
        <f>AVERAGE(_xlfn.XLOOKUP($B50, meih_occurrences!$C:$C, meih_occurrences!$G:$G, "", 0))</f>
        <v>126.7</v>
      </c>
      <c r="G50" s="30">
        <f>AVERAGE(_xlfn.XLOOKUP($B50, meih_occurrences!$C:$C, meih_occurrences!$H:$H, "", 0))</f>
        <v>-18.7</v>
      </c>
      <c r="H50" t="s">
        <v>518</v>
      </c>
      <c r="I50" t="s">
        <v>607</v>
      </c>
      <c r="J50" s="4">
        <v>3</v>
      </c>
      <c r="K50" s="8" t="s">
        <v>164</v>
      </c>
      <c r="L50" s="4">
        <v>3</v>
      </c>
      <c r="M50" s="8" t="s">
        <v>164</v>
      </c>
      <c r="N50" s="4">
        <v>3</v>
      </c>
      <c r="O50" s="10"/>
      <c r="P50" t="s">
        <v>512</v>
      </c>
      <c r="Q50" t="s">
        <v>608</v>
      </c>
      <c r="R50" s="5">
        <v>1857</v>
      </c>
      <c r="S50" s="5">
        <v>5</v>
      </c>
      <c r="T50" s="5">
        <v>513</v>
      </c>
      <c r="U50" s="5">
        <v>12</v>
      </c>
      <c r="V50" t="s">
        <v>609</v>
      </c>
      <c r="W50" s="10"/>
      <c r="X50" t="s">
        <v>512</v>
      </c>
      <c r="Y50" t="s">
        <v>610</v>
      </c>
      <c r="AB50" t="s">
        <v>572</v>
      </c>
      <c r="AC50" t="s">
        <v>512</v>
      </c>
      <c r="AD50" t="s">
        <v>611</v>
      </c>
      <c r="AE50">
        <v>572</v>
      </c>
      <c r="AF50">
        <v>570</v>
      </c>
      <c r="AG50" t="s">
        <v>612</v>
      </c>
      <c r="AH50" t="s">
        <v>512</v>
      </c>
      <c r="AI50">
        <v>3</v>
      </c>
      <c r="AN50" t="s">
        <v>523</v>
      </c>
      <c r="AO50" t="s">
        <v>613</v>
      </c>
      <c r="AP50" t="s">
        <v>512</v>
      </c>
      <c r="AQ50">
        <v>18</v>
      </c>
      <c r="AR50" t="s">
        <v>538</v>
      </c>
      <c r="AS50" t="s">
        <v>611</v>
      </c>
      <c r="AT50">
        <v>571</v>
      </c>
      <c r="AU50">
        <v>571</v>
      </c>
      <c r="AV50" t="s">
        <v>614</v>
      </c>
    </row>
    <row r="51" spans="1:48" x14ac:dyDescent="0.35">
      <c r="A51">
        <v>22</v>
      </c>
      <c r="B51" s="8" t="s">
        <v>618</v>
      </c>
      <c r="C51" s="8"/>
      <c r="D51" s="8" t="s">
        <v>924</v>
      </c>
      <c r="E51" s="8" t="s">
        <v>619</v>
      </c>
      <c r="F51" s="30">
        <f>AVERAGE(_xlfn.XLOOKUP($B51, meih_occurrences!$C:$C, meih_occurrences!$G:$G, "", 0))</f>
        <v>56</v>
      </c>
      <c r="G51" s="30">
        <f>AVERAGE(_xlfn.XLOOKUP($B51, meih_occurrences!$C:$C, meih_occurrences!$H:$H, "", 0))</f>
        <v>32</v>
      </c>
      <c r="H51" s="8" t="s">
        <v>518</v>
      </c>
      <c r="I51" s="8" t="s">
        <v>620</v>
      </c>
      <c r="J51" s="9">
        <v>3</v>
      </c>
      <c r="K51" s="8" t="s">
        <v>164</v>
      </c>
      <c r="L51" s="9">
        <v>3</v>
      </c>
      <c r="M51" s="8" t="s">
        <v>164</v>
      </c>
      <c r="N51" s="9">
        <v>3</v>
      </c>
      <c r="O51" s="10"/>
      <c r="P51" s="8" t="s">
        <v>512</v>
      </c>
      <c r="Q51" s="8" t="s">
        <v>621</v>
      </c>
      <c r="R51" s="11">
        <v>635</v>
      </c>
      <c r="S51" s="11">
        <v>5</v>
      </c>
      <c r="T51" s="11">
        <v>541</v>
      </c>
      <c r="U51" s="11">
        <v>1</v>
      </c>
      <c r="V51" s="10" t="s">
        <v>622</v>
      </c>
      <c r="W51" s="10"/>
      <c r="X51" s="8" t="s">
        <v>515</v>
      </c>
      <c r="Y51" s="8"/>
      <c r="Z51" s="8"/>
      <c r="AA51" s="8"/>
      <c r="AB51" s="8"/>
      <c r="AC51" s="8" t="s">
        <v>515</v>
      </c>
      <c r="AD51" s="12"/>
      <c r="AE51" s="12"/>
      <c r="AF51" s="12"/>
      <c r="AG51" s="12"/>
      <c r="AH51" t="s">
        <v>515</v>
      </c>
      <c r="AP51" t="s">
        <v>515</v>
      </c>
    </row>
    <row r="52" spans="1:48" x14ac:dyDescent="0.35">
      <c r="A52">
        <v>37</v>
      </c>
      <c r="B52" s="8" t="s">
        <v>698</v>
      </c>
      <c r="C52" s="8"/>
      <c r="D52" s="8" t="s">
        <v>924</v>
      </c>
      <c r="E52" s="8" t="s">
        <v>517</v>
      </c>
      <c r="F52" s="30">
        <f>AVERAGE(_xlfn.XLOOKUP($B52, meih_occurrences!$C:$C, meih_occurrences!$G:$G, "", 0))</f>
        <v>69</v>
      </c>
      <c r="G52" s="30">
        <f>AVERAGE(_xlfn.XLOOKUP($B52, meih_occurrences!$C:$C, meih_occurrences!$H:$H, "", 0))</f>
        <v>44</v>
      </c>
      <c r="H52" s="8" t="s">
        <v>518</v>
      </c>
      <c r="I52" s="8" t="s">
        <v>699</v>
      </c>
      <c r="J52" s="9">
        <v>3</v>
      </c>
      <c r="K52" s="8" t="s">
        <v>164</v>
      </c>
      <c r="L52" s="9">
        <v>3</v>
      </c>
      <c r="M52" s="8" t="s">
        <v>164</v>
      </c>
      <c r="N52" s="9">
        <v>3</v>
      </c>
      <c r="O52" s="10"/>
      <c r="P52" s="8" t="s">
        <v>512</v>
      </c>
      <c r="Q52" s="8" t="s">
        <v>700</v>
      </c>
      <c r="R52" s="11"/>
      <c r="S52" s="11"/>
      <c r="T52" s="11">
        <v>485.4</v>
      </c>
      <c r="U52" s="11">
        <v>1.9</v>
      </c>
      <c r="V52" s="10" t="s">
        <v>701</v>
      </c>
      <c r="W52" s="10"/>
      <c r="X52" s="8" t="s">
        <v>515</v>
      </c>
      <c r="Y52" s="8"/>
      <c r="Z52" s="8"/>
      <c r="AA52" s="8"/>
      <c r="AB52" s="8"/>
      <c r="AC52" s="8" t="s">
        <v>515</v>
      </c>
      <c r="AD52" s="12"/>
      <c r="AE52" s="12"/>
      <c r="AF52" s="12"/>
      <c r="AG52" s="12"/>
      <c r="AH52" t="s">
        <v>515</v>
      </c>
      <c r="AP52" t="s">
        <v>515</v>
      </c>
    </row>
    <row r="53" spans="1:48" x14ac:dyDescent="0.35">
      <c r="A53">
        <v>66</v>
      </c>
      <c r="B53" t="s">
        <v>826</v>
      </c>
      <c r="C53" t="s">
        <v>827</v>
      </c>
      <c r="D53" s="8" t="s">
        <v>924</v>
      </c>
      <c r="E53" s="8" t="s">
        <v>517</v>
      </c>
      <c r="F53" s="30">
        <f>AVERAGE(_xlfn.XLOOKUP($B53, meih_occurrences!$C:$C, meih_occurrences!$G:$G, "", 0))</f>
        <v>69</v>
      </c>
      <c r="G53" s="30">
        <f>AVERAGE(_xlfn.XLOOKUP($B53, meih_occurrences!$C:$C, meih_occurrences!$H:$H, "", 0))</f>
        <v>44</v>
      </c>
      <c r="H53" s="8" t="s">
        <v>518</v>
      </c>
      <c r="I53" s="8" t="s">
        <v>822</v>
      </c>
      <c r="J53" s="9">
        <v>3</v>
      </c>
      <c r="K53" s="8" t="s">
        <v>164</v>
      </c>
      <c r="L53" s="9">
        <v>3</v>
      </c>
      <c r="M53" s="8" t="s">
        <v>164</v>
      </c>
      <c r="N53" s="9">
        <v>3</v>
      </c>
      <c r="O53" s="10"/>
      <c r="P53" s="8" t="s">
        <v>512</v>
      </c>
      <c r="Q53" s="8" t="s">
        <v>828</v>
      </c>
      <c r="R53" s="11">
        <v>629</v>
      </c>
      <c r="S53" s="11">
        <v>8</v>
      </c>
      <c r="T53" s="11">
        <v>509</v>
      </c>
      <c r="U53" s="11">
        <v>5</v>
      </c>
      <c r="V53" s="10" t="s">
        <v>829</v>
      </c>
      <c r="W53" s="10"/>
      <c r="X53" t="s">
        <v>515</v>
      </c>
      <c r="AC53" t="s">
        <v>515</v>
      </c>
      <c r="AH53" t="s">
        <v>515</v>
      </c>
      <c r="AP53" t="s">
        <v>512</v>
      </c>
      <c r="AQ53">
        <v>11</v>
      </c>
      <c r="AR53" t="s">
        <v>555</v>
      </c>
      <c r="AS53" t="s">
        <v>562</v>
      </c>
      <c r="AT53">
        <v>581</v>
      </c>
      <c r="AU53">
        <v>579</v>
      </c>
      <c r="AV53" t="s">
        <v>830</v>
      </c>
    </row>
    <row r="54" spans="1:48" x14ac:dyDescent="0.35">
      <c r="A54">
        <v>75</v>
      </c>
      <c r="B54" t="s">
        <v>863</v>
      </c>
      <c r="D54" s="8" t="s">
        <v>924</v>
      </c>
      <c r="E54" s="8" t="s">
        <v>517</v>
      </c>
      <c r="F54" s="30">
        <v>80.97</v>
      </c>
      <c r="G54" s="30">
        <v>44.34</v>
      </c>
      <c r="H54" t="s">
        <v>518</v>
      </c>
      <c r="I54" t="s">
        <v>1487</v>
      </c>
      <c r="J54" s="4">
        <v>4</v>
      </c>
      <c r="K54" s="8" t="s">
        <v>1433</v>
      </c>
      <c r="L54" s="4">
        <v>4</v>
      </c>
      <c r="M54" s="8" t="s">
        <v>164</v>
      </c>
      <c r="N54" s="4">
        <v>4</v>
      </c>
      <c r="O54" s="10"/>
      <c r="P54" t="s">
        <v>512</v>
      </c>
      <c r="Q54" t="s">
        <v>864</v>
      </c>
      <c r="R54" s="5">
        <v>592</v>
      </c>
      <c r="S54" s="5">
        <v>5</v>
      </c>
      <c r="T54" s="5">
        <v>509</v>
      </c>
      <c r="U54" s="5">
        <v>5</v>
      </c>
      <c r="V54" t="s">
        <v>865</v>
      </c>
      <c r="W54" s="10"/>
      <c r="X54" t="s">
        <v>515</v>
      </c>
      <c r="AC54" t="s">
        <v>515</v>
      </c>
      <c r="AH54" t="s">
        <v>515</v>
      </c>
      <c r="AP54" t="s">
        <v>512</v>
      </c>
      <c r="AQ54">
        <v>12</v>
      </c>
      <c r="AR54" t="s">
        <v>525</v>
      </c>
      <c r="AS54" t="s">
        <v>562</v>
      </c>
      <c r="AT54">
        <v>581</v>
      </c>
      <c r="AU54">
        <v>579</v>
      </c>
    </row>
    <row r="55" spans="1:48" x14ac:dyDescent="0.35">
      <c r="A55">
        <v>92</v>
      </c>
      <c r="B55" t="s">
        <v>1475</v>
      </c>
      <c r="D55" s="8" t="s">
        <v>924</v>
      </c>
      <c r="E55" s="8" t="s">
        <v>755</v>
      </c>
      <c r="F55" s="30">
        <v>116.78805555555556</v>
      </c>
      <c r="G55" s="30">
        <v>32.647222222222219</v>
      </c>
      <c r="H55" s="8" t="s">
        <v>518</v>
      </c>
      <c r="I55" s="8" t="s">
        <v>1500</v>
      </c>
      <c r="J55" s="4">
        <v>2</v>
      </c>
      <c r="K55" s="8" t="s">
        <v>1433</v>
      </c>
      <c r="L55" s="8"/>
      <c r="M55" s="8"/>
      <c r="N55" s="8"/>
      <c r="O55" s="10"/>
      <c r="P55" s="8" t="s">
        <v>515</v>
      </c>
      <c r="Q55" s="8"/>
      <c r="R55" s="8"/>
      <c r="S55" s="8"/>
      <c r="T55" s="8"/>
      <c r="U55" s="8"/>
      <c r="V55" s="10"/>
      <c r="W55" s="10"/>
      <c r="X55" s="8" t="s">
        <v>515</v>
      </c>
      <c r="Y55" s="8"/>
      <c r="Z55" s="8"/>
      <c r="AA55" s="8"/>
      <c r="AB55" s="8"/>
      <c r="AC55" s="8" t="s">
        <v>515</v>
      </c>
      <c r="AD55" s="8"/>
      <c r="AE55" s="8"/>
      <c r="AF55" s="10"/>
      <c r="AG55" s="10"/>
      <c r="AH55" s="8" t="s">
        <v>515</v>
      </c>
      <c r="AI55" s="10"/>
      <c r="AJ55" s="10"/>
      <c r="AK55" s="10"/>
      <c r="AL55" s="10"/>
      <c r="AM55" s="10"/>
      <c r="AN55" s="10"/>
      <c r="AO55" s="10"/>
      <c r="AP55" t="s">
        <v>515</v>
      </c>
      <c r="AQ55" s="10"/>
      <c r="AR55" s="10"/>
      <c r="AS55" s="10"/>
      <c r="AT55" s="10"/>
      <c r="AU55" s="10"/>
      <c r="AV55" s="10"/>
    </row>
    <row r="56" spans="1:48" x14ac:dyDescent="0.35">
      <c r="A56">
        <v>3</v>
      </c>
      <c r="B56" s="8" t="s">
        <v>527</v>
      </c>
      <c r="C56" s="8"/>
      <c r="D56" s="8" t="s">
        <v>924</v>
      </c>
      <c r="E56" s="8" t="s">
        <v>517</v>
      </c>
      <c r="F56" s="30"/>
      <c r="G56" s="30"/>
      <c r="H56" s="8" t="s">
        <v>528</v>
      </c>
      <c r="I56" s="8" t="s">
        <v>529</v>
      </c>
      <c r="J56" s="9">
        <v>2</v>
      </c>
      <c r="K56" s="8" t="s">
        <v>164</v>
      </c>
      <c r="L56" s="9">
        <v>2</v>
      </c>
      <c r="M56" s="8" t="s">
        <v>164</v>
      </c>
      <c r="N56" s="9">
        <v>2</v>
      </c>
      <c r="O56" s="10"/>
      <c r="P56" s="8" t="s">
        <v>512</v>
      </c>
      <c r="Q56" s="8" t="s">
        <v>530</v>
      </c>
      <c r="R56" s="11"/>
      <c r="S56" s="11"/>
      <c r="T56" s="11">
        <v>509</v>
      </c>
      <c r="U56" s="11">
        <v>5</v>
      </c>
      <c r="V56" s="10" t="s">
        <v>531</v>
      </c>
      <c r="W56" s="10"/>
      <c r="X56" s="8" t="s">
        <v>515</v>
      </c>
      <c r="Y56" s="8"/>
      <c r="Z56" s="8"/>
      <c r="AA56" s="8"/>
      <c r="AB56" s="8"/>
      <c r="AC56" s="8" t="s">
        <v>515</v>
      </c>
      <c r="AD56" s="12"/>
      <c r="AE56" s="12"/>
      <c r="AF56" s="12"/>
      <c r="AG56" s="12"/>
      <c r="AH56" t="s">
        <v>515</v>
      </c>
      <c r="AP56" t="s">
        <v>515</v>
      </c>
    </row>
    <row r="57" spans="1:48" x14ac:dyDescent="0.35">
      <c r="A57">
        <v>5</v>
      </c>
      <c r="B57" t="s">
        <v>539</v>
      </c>
      <c r="C57" t="s">
        <v>540</v>
      </c>
      <c r="D57" t="s">
        <v>924</v>
      </c>
      <c r="E57" s="8" t="s">
        <v>464</v>
      </c>
      <c r="F57" s="30"/>
      <c r="G57" s="30"/>
      <c r="H57" t="s">
        <v>528</v>
      </c>
      <c r="I57" t="s">
        <v>541</v>
      </c>
      <c r="J57" s="4">
        <v>3</v>
      </c>
      <c r="K57" s="8" t="s">
        <v>164</v>
      </c>
      <c r="L57" s="4">
        <v>3</v>
      </c>
      <c r="M57" s="8" t="s">
        <v>164</v>
      </c>
      <c r="N57" s="4">
        <v>3</v>
      </c>
      <c r="O57" s="10"/>
      <c r="P57" t="s">
        <v>512</v>
      </c>
      <c r="Q57" t="s">
        <v>542</v>
      </c>
      <c r="R57" s="5">
        <v>977</v>
      </c>
      <c r="S57" s="5">
        <v>6</v>
      </c>
      <c r="T57" s="5">
        <v>551</v>
      </c>
      <c r="U57" s="5">
        <v>4</v>
      </c>
      <c r="V57" t="s">
        <v>543</v>
      </c>
      <c r="W57" s="10"/>
      <c r="X57" t="s">
        <v>515</v>
      </c>
      <c r="AC57" t="s">
        <v>515</v>
      </c>
      <c r="AH57" t="s">
        <v>512</v>
      </c>
      <c r="AI57">
        <v>13</v>
      </c>
      <c r="AJ57">
        <v>555</v>
      </c>
      <c r="AN57" t="s">
        <v>523</v>
      </c>
      <c r="AO57" t="s">
        <v>544</v>
      </c>
      <c r="AP57" t="s">
        <v>515</v>
      </c>
    </row>
    <row r="58" spans="1:48" x14ac:dyDescent="0.35">
      <c r="A58">
        <v>6</v>
      </c>
      <c r="B58" s="8" t="s">
        <v>545</v>
      </c>
      <c r="C58" s="8"/>
      <c r="D58" s="8" t="s">
        <v>924</v>
      </c>
      <c r="E58" s="8" t="s">
        <v>450</v>
      </c>
      <c r="F58" s="30"/>
      <c r="G58" s="30"/>
      <c r="H58" s="8" t="s">
        <v>528</v>
      </c>
      <c r="I58" s="8" t="s">
        <v>546</v>
      </c>
      <c r="J58" s="9">
        <v>4</v>
      </c>
      <c r="K58" s="8" t="s">
        <v>164</v>
      </c>
      <c r="L58" s="9">
        <v>4</v>
      </c>
      <c r="M58" s="8" t="s">
        <v>164</v>
      </c>
      <c r="N58" s="9">
        <v>4</v>
      </c>
      <c r="O58" s="10"/>
      <c r="P58" s="8" t="s">
        <v>512</v>
      </c>
      <c r="Q58" s="8" t="s">
        <v>547</v>
      </c>
      <c r="R58" s="11"/>
      <c r="S58" s="11"/>
      <c r="T58" s="11">
        <v>508</v>
      </c>
      <c r="U58" s="11">
        <v>8</v>
      </c>
      <c r="V58" s="10" t="s">
        <v>548</v>
      </c>
      <c r="W58" s="10"/>
      <c r="X58" s="8" t="s">
        <v>515</v>
      </c>
      <c r="Y58" s="8"/>
      <c r="Z58" s="8"/>
      <c r="AA58" s="8"/>
      <c r="AB58" s="8"/>
      <c r="AC58" s="8" t="s">
        <v>515</v>
      </c>
      <c r="AD58" s="12"/>
      <c r="AE58" s="12"/>
      <c r="AF58" s="12"/>
      <c r="AG58" s="12"/>
      <c r="AH58" t="s">
        <v>515</v>
      </c>
      <c r="AP58" t="s">
        <v>515</v>
      </c>
    </row>
    <row r="59" spans="1:48" x14ac:dyDescent="0.35">
      <c r="A59">
        <v>7</v>
      </c>
      <c r="B59" s="8" t="s">
        <v>549</v>
      </c>
      <c r="C59" s="8"/>
      <c r="D59" s="8" t="s">
        <v>924</v>
      </c>
      <c r="E59" s="8" t="s">
        <v>450</v>
      </c>
      <c r="F59" s="30"/>
      <c r="G59" s="30"/>
      <c r="H59" s="8" t="s">
        <v>528</v>
      </c>
      <c r="I59" s="8" t="s">
        <v>550</v>
      </c>
      <c r="J59" s="9">
        <v>4</v>
      </c>
      <c r="K59" s="8" t="s">
        <v>164</v>
      </c>
      <c r="L59" s="9">
        <v>4</v>
      </c>
      <c r="M59" s="8" t="s">
        <v>164</v>
      </c>
      <c r="N59" s="9">
        <v>4</v>
      </c>
      <c r="O59" s="10"/>
      <c r="P59" s="8" t="s">
        <v>512</v>
      </c>
      <c r="Q59" s="8" t="s">
        <v>551</v>
      </c>
      <c r="R59" s="11"/>
      <c r="S59" s="11"/>
      <c r="T59" s="11">
        <v>485.4</v>
      </c>
      <c r="U59" s="11">
        <v>5</v>
      </c>
      <c r="V59" s="10" t="s">
        <v>552</v>
      </c>
      <c r="W59" s="10"/>
      <c r="X59" s="8" t="s">
        <v>515</v>
      </c>
      <c r="Y59" s="8"/>
      <c r="Z59" s="8"/>
      <c r="AA59" s="8"/>
      <c r="AB59" s="8"/>
      <c r="AC59" s="8" t="s">
        <v>515</v>
      </c>
      <c r="AD59" s="12"/>
      <c r="AE59" s="12"/>
      <c r="AF59" s="12"/>
      <c r="AG59" s="12"/>
      <c r="AH59" t="s">
        <v>515</v>
      </c>
      <c r="AP59" t="s">
        <v>515</v>
      </c>
    </row>
    <row r="60" spans="1:48" x14ac:dyDescent="0.35">
      <c r="A60">
        <v>10</v>
      </c>
      <c r="B60" s="8" t="s">
        <v>565</v>
      </c>
      <c r="C60" s="8"/>
      <c r="D60" s="8" t="s">
        <v>924</v>
      </c>
      <c r="E60" s="8" t="s">
        <v>468</v>
      </c>
      <c r="F60" s="30"/>
      <c r="G60" s="30"/>
      <c r="H60" s="8" t="s">
        <v>528</v>
      </c>
      <c r="I60" s="8" t="s">
        <v>1472</v>
      </c>
      <c r="J60" s="9">
        <v>4</v>
      </c>
      <c r="K60" s="8" t="s">
        <v>164</v>
      </c>
      <c r="L60" s="9">
        <v>4</v>
      </c>
      <c r="M60" s="8" t="s">
        <v>164</v>
      </c>
      <c r="N60" s="9">
        <v>4</v>
      </c>
      <c r="O60" s="10"/>
      <c r="P60" s="8" t="s">
        <v>512</v>
      </c>
      <c r="Q60" s="8" t="s">
        <v>566</v>
      </c>
      <c r="R60" s="11">
        <v>610</v>
      </c>
      <c r="S60" s="11">
        <v>30</v>
      </c>
      <c r="T60" s="11">
        <v>575</v>
      </c>
      <c r="U60" s="11">
        <v>2</v>
      </c>
      <c r="V60" s="10" t="s">
        <v>567</v>
      </c>
      <c r="W60" s="10"/>
      <c r="X60" s="8" t="s">
        <v>515</v>
      </c>
      <c r="Y60" s="8"/>
      <c r="Z60" s="8"/>
      <c r="AA60" s="8"/>
      <c r="AB60" s="8"/>
      <c r="AC60" s="8" t="s">
        <v>515</v>
      </c>
      <c r="AD60" s="12"/>
      <c r="AE60" s="12"/>
      <c r="AF60" s="12"/>
      <c r="AG60" s="12"/>
      <c r="AH60" t="s">
        <v>515</v>
      </c>
      <c r="AP60" t="s">
        <v>515</v>
      </c>
    </row>
    <row r="61" spans="1:48" x14ac:dyDescent="0.35">
      <c r="A61">
        <v>11</v>
      </c>
      <c r="B61" t="s">
        <v>568</v>
      </c>
      <c r="D61" s="8" t="s">
        <v>924</v>
      </c>
      <c r="E61" s="8" t="s">
        <v>464</v>
      </c>
      <c r="F61" s="30"/>
      <c r="G61" s="30"/>
      <c r="H61" s="8" t="s">
        <v>528</v>
      </c>
      <c r="I61" s="8" t="s">
        <v>569</v>
      </c>
      <c r="J61" s="4">
        <v>4</v>
      </c>
      <c r="K61" s="8" t="s">
        <v>164</v>
      </c>
      <c r="L61" s="4">
        <v>4</v>
      </c>
      <c r="M61" s="8" t="s">
        <v>164</v>
      </c>
      <c r="N61" s="4">
        <v>4</v>
      </c>
      <c r="O61" s="10"/>
      <c r="P61" t="s">
        <v>512</v>
      </c>
      <c r="Q61" t="s">
        <v>570</v>
      </c>
      <c r="R61" s="5">
        <v>660</v>
      </c>
      <c r="S61" s="5">
        <v>30</v>
      </c>
      <c r="T61" s="5">
        <v>610</v>
      </c>
      <c r="U61" s="5">
        <v>20</v>
      </c>
      <c r="V61" t="s">
        <v>571</v>
      </c>
      <c r="W61" s="10"/>
      <c r="X61" t="s">
        <v>512</v>
      </c>
      <c r="AB61" t="s">
        <v>572</v>
      </c>
      <c r="AC61" t="s">
        <v>515</v>
      </c>
      <c r="AH61" t="s">
        <v>515</v>
      </c>
      <c r="AP61" t="s">
        <v>515</v>
      </c>
    </row>
    <row r="62" spans="1:48" x14ac:dyDescent="0.35">
      <c r="A62">
        <v>13</v>
      </c>
      <c r="B62" t="s">
        <v>69</v>
      </c>
      <c r="D62" s="8" t="s">
        <v>924</v>
      </c>
      <c r="E62" s="8" t="s">
        <v>450</v>
      </c>
      <c r="F62" s="30"/>
      <c r="G62" s="30"/>
      <c r="H62" s="8" t="s">
        <v>528</v>
      </c>
      <c r="I62" s="8" t="s">
        <v>576</v>
      </c>
      <c r="J62" s="4">
        <v>4</v>
      </c>
      <c r="K62" s="8" t="s">
        <v>164</v>
      </c>
      <c r="L62" s="4">
        <v>4</v>
      </c>
      <c r="M62" s="8" t="s">
        <v>164</v>
      </c>
      <c r="N62" s="4">
        <v>4</v>
      </c>
      <c r="O62" s="10"/>
      <c r="P62" t="s">
        <v>512</v>
      </c>
      <c r="Q62" t="s">
        <v>577</v>
      </c>
      <c r="R62" s="5">
        <v>645</v>
      </c>
      <c r="S62" s="5">
        <v>15</v>
      </c>
      <c r="T62" s="5">
        <v>575</v>
      </c>
      <c r="U62" s="5">
        <v>3</v>
      </c>
      <c r="V62" t="s">
        <v>578</v>
      </c>
      <c r="W62" s="10"/>
      <c r="X62" t="s">
        <v>515</v>
      </c>
      <c r="AB62" t="s">
        <v>579</v>
      </c>
      <c r="AC62" t="s">
        <v>515</v>
      </c>
      <c r="AH62" t="s">
        <v>512</v>
      </c>
      <c r="AI62">
        <v>7</v>
      </c>
      <c r="AL62">
        <v>575</v>
      </c>
      <c r="AM62">
        <v>3</v>
      </c>
      <c r="AN62" t="s">
        <v>523</v>
      </c>
      <c r="AO62" t="s">
        <v>580</v>
      </c>
      <c r="AP62" t="s">
        <v>512</v>
      </c>
      <c r="AQ62">
        <v>24</v>
      </c>
      <c r="AR62" t="s">
        <v>538</v>
      </c>
      <c r="AS62" t="s">
        <v>555</v>
      </c>
      <c r="AV62" t="s">
        <v>581</v>
      </c>
    </row>
    <row r="63" spans="1:48" x14ac:dyDescent="0.35">
      <c r="A63">
        <v>23</v>
      </c>
      <c r="B63" s="8" t="s">
        <v>623</v>
      </c>
      <c r="C63" s="8"/>
      <c r="D63" s="8" t="s">
        <v>924</v>
      </c>
      <c r="E63" s="8" t="s">
        <v>450</v>
      </c>
      <c r="F63" s="30"/>
      <c r="G63" s="30"/>
      <c r="H63" s="8" t="s">
        <v>528</v>
      </c>
      <c r="I63" s="8" t="s">
        <v>624</v>
      </c>
      <c r="J63" s="9">
        <v>4</v>
      </c>
      <c r="K63" s="8" t="s">
        <v>164</v>
      </c>
      <c r="L63" s="9">
        <v>4</v>
      </c>
      <c r="M63" s="8" t="s">
        <v>164</v>
      </c>
      <c r="N63" s="9">
        <v>4</v>
      </c>
      <c r="O63" s="10"/>
      <c r="P63" s="8" t="s">
        <v>512</v>
      </c>
      <c r="Q63" s="8" t="s">
        <v>625</v>
      </c>
      <c r="R63" s="11"/>
      <c r="S63" s="11"/>
      <c r="T63" s="11">
        <v>485.4</v>
      </c>
      <c r="U63" s="11">
        <v>1.9</v>
      </c>
      <c r="V63" s="10" t="s">
        <v>626</v>
      </c>
      <c r="W63" s="10"/>
      <c r="X63" s="8" t="s">
        <v>515</v>
      </c>
      <c r="Y63" s="8"/>
      <c r="Z63" s="8"/>
      <c r="AA63" s="8"/>
      <c r="AB63" s="8"/>
      <c r="AC63" s="8" t="s">
        <v>515</v>
      </c>
      <c r="AD63" s="12"/>
      <c r="AE63" s="12"/>
      <c r="AF63" s="12"/>
      <c r="AG63" s="12"/>
      <c r="AH63" t="s">
        <v>515</v>
      </c>
      <c r="AP63" t="s">
        <v>515</v>
      </c>
    </row>
    <row r="64" spans="1:48" x14ac:dyDescent="0.35">
      <c r="A64">
        <v>25</v>
      </c>
      <c r="B64" t="s">
        <v>634</v>
      </c>
      <c r="C64" t="s">
        <v>635</v>
      </c>
      <c r="D64" s="8" t="s">
        <v>924</v>
      </c>
      <c r="E64" s="8" t="s">
        <v>460</v>
      </c>
      <c r="F64" s="30"/>
      <c r="G64" s="30"/>
      <c r="H64" s="8" t="s">
        <v>528</v>
      </c>
      <c r="I64" t="s">
        <v>636</v>
      </c>
      <c r="J64" s="9">
        <v>4</v>
      </c>
      <c r="K64" s="8" t="s">
        <v>164</v>
      </c>
      <c r="L64" s="9">
        <v>4</v>
      </c>
      <c r="M64" s="8" t="s">
        <v>164</v>
      </c>
      <c r="N64" s="9">
        <v>4</v>
      </c>
      <c r="O64" s="10"/>
      <c r="P64" s="8" t="s">
        <v>512</v>
      </c>
      <c r="Q64" s="8" t="s">
        <v>637</v>
      </c>
      <c r="R64" s="11">
        <v>635</v>
      </c>
      <c r="S64" s="11">
        <v>5</v>
      </c>
      <c r="T64" s="11">
        <v>509</v>
      </c>
      <c r="U64" s="11">
        <v>5</v>
      </c>
      <c r="V64" s="10" t="s">
        <v>638</v>
      </c>
      <c r="W64" s="10"/>
      <c r="X64" t="s">
        <v>515</v>
      </c>
      <c r="AC64" t="s">
        <v>512</v>
      </c>
      <c r="AD64" t="s">
        <v>521</v>
      </c>
      <c r="AE64">
        <v>555</v>
      </c>
      <c r="AF64">
        <v>549</v>
      </c>
      <c r="AG64" t="s">
        <v>522</v>
      </c>
      <c r="AH64" t="s">
        <v>512</v>
      </c>
      <c r="AI64">
        <v>32</v>
      </c>
      <c r="AJ64">
        <v>556</v>
      </c>
      <c r="AK64">
        <v>12</v>
      </c>
      <c r="AL64">
        <v>519</v>
      </c>
      <c r="AM64">
        <v>11</v>
      </c>
      <c r="AN64" t="s">
        <v>523</v>
      </c>
      <c r="AO64" t="s">
        <v>639</v>
      </c>
      <c r="AP64" t="s">
        <v>512</v>
      </c>
      <c r="AQ64">
        <v>32</v>
      </c>
      <c r="AR64" t="s">
        <v>640</v>
      </c>
      <c r="AS64" t="s">
        <v>521</v>
      </c>
      <c r="AT64">
        <v>562</v>
      </c>
      <c r="AU64">
        <v>551</v>
      </c>
      <c r="AV64" t="s">
        <v>641</v>
      </c>
    </row>
    <row r="65" spans="1:48" x14ac:dyDescent="0.35">
      <c r="A65">
        <v>41</v>
      </c>
      <c r="B65" t="s">
        <v>720</v>
      </c>
      <c r="D65" s="8" t="s">
        <v>924</v>
      </c>
      <c r="E65" s="8" t="s">
        <v>464</v>
      </c>
      <c r="F65" s="30"/>
      <c r="G65" s="30"/>
      <c r="H65" t="s">
        <v>528</v>
      </c>
      <c r="I65" t="s">
        <v>721</v>
      </c>
      <c r="J65" s="9">
        <v>3</v>
      </c>
      <c r="K65" s="8" t="s">
        <v>164</v>
      </c>
      <c r="L65" s="9">
        <v>3</v>
      </c>
      <c r="M65" s="8" t="s">
        <v>164</v>
      </c>
      <c r="N65" s="9">
        <v>3</v>
      </c>
      <c r="O65" s="10"/>
      <c r="P65" s="8" t="s">
        <v>512</v>
      </c>
      <c r="Q65" s="8" t="s">
        <v>722</v>
      </c>
      <c r="R65" s="11">
        <v>680</v>
      </c>
      <c r="S65" s="11">
        <v>60</v>
      </c>
      <c r="T65" s="11">
        <v>580</v>
      </c>
      <c r="U65" s="11">
        <v>0.01</v>
      </c>
      <c r="V65" s="10" t="s">
        <v>723</v>
      </c>
      <c r="W65" s="10"/>
      <c r="X65" t="s">
        <v>515</v>
      </c>
      <c r="AC65" t="s">
        <v>515</v>
      </c>
      <c r="AH65" t="s">
        <v>512</v>
      </c>
      <c r="AI65">
        <v>14</v>
      </c>
      <c r="AN65" t="s">
        <v>523</v>
      </c>
      <c r="AO65" t="s">
        <v>724</v>
      </c>
      <c r="AP65" t="s">
        <v>512</v>
      </c>
      <c r="AQ65">
        <v>5</v>
      </c>
      <c r="AR65" t="s">
        <v>538</v>
      </c>
      <c r="AS65" t="s">
        <v>555</v>
      </c>
      <c r="AV65" t="s">
        <v>581</v>
      </c>
    </row>
    <row r="66" spans="1:48" x14ac:dyDescent="0.35">
      <c r="A66">
        <v>42</v>
      </c>
      <c r="B66" s="8" t="s">
        <v>725</v>
      </c>
      <c r="C66" s="8"/>
      <c r="D66" s="8" t="s">
        <v>924</v>
      </c>
      <c r="E66" s="8" t="s">
        <v>450</v>
      </c>
      <c r="F66" s="30"/>
      <c r="G66" s="30"/>
      <c r="H66" s="8" t="s">
        <v>528</v>
      </c>
      <c r="I66" s="8" t="s">
        <v>550</v>
      </c>
      <c r="J66" s="9">
        <v>3</v>
      </c>
      <c r="K66" s="8" t="s">
        <v>164</v>
      </c>
      <c r="L66" s="9">
        <v>3</v>
      </c>
      <c r="M66" s="8" t="s">
        <v>164</v>
      </c>
      <c r="N66" s="9">
        <v>3</v>
      </c>
      <c r="O66" s="10"/>
      <c r="P66" s="8" t="s">
        <v>512</v>
      </c>
      <c r="Q66" s="8" t="s">
        <v>726</v>
      </c>
      <c r="R66" s="5">
        <v>1857</v>
      </c>
      <c r="S66" s="5">
        <v>5</v>
      </c>
      <c r="T66" s="5">
        <v>513</v>
      </c>
      <c r="U66" s="5">
        <v>12</v>
      </c>
      <c r="V66" s="10" t="s">
        <v>727</v>
      </c>
      <c r="W66" s="10"/>
      <c r="X66" s="8" t="s">
        <v>515</v>
      </c>
      <c r="Y66" s="8"/>
      <c r="Z66" s="8"/>
      <c r="AA66" s="8"/>
      <c r="AB66" s="8"/>
      <c r="AC66" s="8" t="s">
        <v>515</v>
      </c>
      <c r="AD66" s="12"/>
      <c r="AE66" s="12"/>
      <c r="AF66" s="12"/>
      <c r="AG66" s="12"/>
      <c r="AH66" s="8" t="s">
        <v>515</v>
      </c>
      <c r="AP66" s="8" t="s">
        <v>515</v>
      </c>
    </row>
    <row r="67" spans="1:48" x14ac:dyDescent="0.35">
      <c r="A67">
        <v>43</v>
      </c>
      <c r="B67" s="8" t="s">
        <v>728</v>
      </c>
      <c r="C67" s="8"/>
      <c r="D67" s="8" t="s">
        <v>924</v>
      </c>
      <c r="E67" s="8" t="s">
        <v>464</v>
      </c>
      <c r="F67" s="30"/>
      <c r="G67" s="30"/>
      <c r="H67" s="8" t="s">
        <v>528</v>
      </c>
      <c r="I67" s="8" t="s">
        <v>729</v>
      </c>
      <c r="J67" s="9">
        <v>4</v>
      </c>
      <c r="K67" s="8" t="s">
        <v>164</v>
      </c>
      <c r="L67" s="9">
        <v>4</v>
      </c>
      <c r="M67" s="8" t="s">
        <v>164</v>
      </c>
      <c r="N67" s="9">
        <v>4</v>
      </c>
      <c r="O67" s="10"/>
      <c r="P67" s="8" t="s">
        <v>512</v>
      </c>
      <c r="Q67" s="8" t="s">
        <v>730</v>
      </c>
      <c r="R67" s="11"/>
      <c r="S67" s="11"/>
      <c r="T67" s="11">
        <v>497</v>
      </c>
      <c r="U67" s="11">
        <v>5</v>
      </c>
      <c r="V67" s="10" t="s">
        <v>731</v>
      </c>
      <c r="W67" s="10"/>
      <c r="X67" s="8" t="s">
        <v>515</v>
      </c>
      <c r="Y67" s="8"/>
      <c r="Z67" s="8"/>
      <c r="AA67" s="8"/>
      <c r="AB67" s="8"/>
      <c r="AC67" s="8" t="s">
        <v>515</v>
      </c>
      <c r="AD67" s="12"/>
      <c r="AE67" s="12"/>
      <c r="AF67" s="12"/>
      <c r="AG67" s="12"/>
      <c r="AH67" t="s">
        <v>515</v>
      </c>
      <c r="AP67" t="s">
        <v>515</v>
      </c>
    </row>
    <row r="68" spans="1:48" x14ac:dyDescent="0.35">
      <c r="A68">
        <v>45</v>
      </c>
      <c r="B68" t="s">
        <v>737</v>
      </c>
      <c r="D68" s="8" t="s">
        <v>924</v>
      </c>
      <c r="E68" s="8" t="s">
        <v>464</v>
      </c>
      <c r="F68" s="30"/>
      <c r="G68" s="30"/>
      <c r="H68" t="s">
        <v>528</v>
      </c>
      <c r="I68" t="s">
        <v>738</v>
      </c>
      <c r="J68" s="4">
        <v>2</v>
      </c>
      <c r="K68" s="8" t="s">
        <v>164</v>
      </c>
      <c r="L68" s="4">
        <v>2</v>
      </c>
      <c r="M68" s="8" t="s">
        <v>164</v>
      </c>
      <c r="N68" s="4">
        <v>2</v>
      </c>
      <c r="O68" s="10"/>
      <c r="P68" s="8" t="s">
        <v>512</v>
      </c>
      <c r="Q68" s="8" t="s">
        <v>739</v>
      </c>
      <c r="R68" s="9"/>
      <c r="S68" s="11"/>
      <c r="T68" s="11">
        <v>665</v>
      </c>
      <c r="U68" s="11">
        <v>10</v>
      </c>
      <c r="V68" s="10" t="s">
        <v>740</v>
      </c>
      <c r="W68" s="10"/>
      <c r="X68" t="s">
        <v>512</v>
      </c>
      <c r="Y68" t="s">
        <v>741</v>
      </c>
      <c r="AA68">
        <v>596</v>
      </c>
      <c r="AB68" t="s">
        <v>742</v>
      </c>
      <c r="AC68" t="s">
        <v>515</v>
      </c>
      <c r="AH68" t="s">
        <v>515</v>
      </c>
      <c r="AP68" t="s">
        <v>515</v>
      </c>
    </row>
    <row r="69" spans="1:48" x14ac:dyDescent="0.35">
      <c r="A69">
        <v>46</v>
      </c>
      <c r="B69" s="8" t="s">
        <v>743</v>
      </c>
      <c r="C69" s="8"/>
      <c r="D69" s="8" t="s">
        <v>924</v>
      </c>
      <c r="E69" s="8" t="s">
        <v>450</v>
      </c>
      <c r="F69" s="30"/>
      <c r="G69" s="30"/>
      <c r="H69" s="8" t="s">
        <v>528</v>
      </c>
      <c r="I69" s="8" t="s">
        <v>550</v>
      </c>
      <c r="J69" s="9">
        <v>3</v>
      </c>
      <c r="K69" s="8" t="s">
        <v>164</v>
      </c>
      <c r="L69" s="9">
        <v>3</v>
      </c>
      <c r="M69" s="8" t="s">
        <v>164</v>
      </c>
      <c r="N69" s="9">
        <v>3</v>
      </c>
      <c r="O69" s="10"/>
      <c r="P69" s="8" t="s">
        <v>512</v>
      </c>
      <c r="Q69" s="8" t="s">
        <v>744</v>
      </c>
      <c r="R69" s="11"/>
      <c r="S69" s="11"/>
      <c r="T69" s="11">
        <v>509</v>
      </c>
      <c r="U69" s="11">
        <v>5</v>
      </c>
      <c r="V69" s="10" t="s">
        <v>745</v>
      </c>
      <c r="W69" s="10"/>
      <c r="X69" s="8" t="s">
        <v>515</v>
      </c>
      <c r="Y69" s="8"/>
      <c r="Z69" s="8"/>
      <c r="AA69" s="8"/>
      <c r="AB69" s="8"/>
      <c r="AC69" s="8" t="s">
        <v>515</v>
      </c>
      <c r="AD69" s="12"/>
      <c r="AE69" s="12"/>
      <c r="AF69" s="12"/>
      <c r="AG69" s="12"/>
      <c r="AH69" t="s">
        <v>515</v>
      </c>
      <c r="AP69" t="s">
        <v>515</v>
      </c>
    </row>
    <row r="70" spans="1:48" x14ac:dyDescent="0.35">
      <c r="A70">
        <v>51</v>
      </c>
      <c r="B70" t="s">
        <v>764</v>
      </c>
      <c r="D70" s="8" t="s">
        <v>924</v>
      </c>
      <c r="E70" s="8" t="s">
        <v>465</v>
      </c>
      <c r="F70" s="30"/>
      <c r="G70" s="30"/>
      <c r="H70" t="s">
        <v>528</v>
      </c>
      <c r="I70" s="8"/>
      <c r="J70" s="9">
        <v>5</v>
      </c>
      <c r="K70" s="8" t="s">
        <v>164</v>
      </c>
      <c r="L70" s="9">
        <v>5</v>
      </c>
      <c r="M70" s="8" t="s">
        <v>164</v>
      </c>
      <c r="N70" s="9">
        <v>5</v>
      </c>
      <c r="O70" s="10"/>
      <c r="P70" s="8" t="s">
        <v>512</v>
      </c>
      <c r="Q70" s="8" t="s">
        <v>765</v>
      </c>
      <c r="R70" s="11">
        <v>696</v>
      </c>
      <c r="S70" s="11">
        <v>8.5</v>
      </c>
      <c r="T70" s="11">
        <v>509</v>
      </c>
      <c r="U70" s="11">
        <v>5</v>
      </c>
      <c r="V70" s="10" t="s">
        <v>766</v>
      </c>
      <c r="W70" s="10"/>
      <c r="X70" t="s">
        <v>515</v>
      </c>
      <c r="AC70" t="s">
        <v>515</v>
      </c>
      <c r="AH70" t="s">
        <v>515</v>
      </c>
      <c r="AP70" t="s">
        <v>512</v>
      </c>
      <c r="AQ70">
        <v>9</v>
      </c>
      <c r="AR70" t="s">
        <v>677</v>
      </c>
      <c r="AS70" t="s">
        <v>555</v>
      </c>
      <c r="AV70" t="s">
        <v>581</v>
      </c>
    </row>
    <row r="71" spans="1:48" x14ac:dyDescent="0.35">
      <c r="A71">
        <v>52</v>
      </c>
      <c r="B71" t="s">
        <v>767</v>
      </c>
      <c r="D71" s="8" t="s">
        <v>924</v>
      </c>
      <c r="E71" s="8" t="s">
        <v>453</v>
      </c>
      <c r="F71" s="30"/>
      <c r="G71" s="30"/>
      <c r="H71" t="s">
        <v>528</v>
      </c>
      <c r="I71" s="8" t="s">
        <v>768</v>
      </c>
      <c r="J71" s="4">
        <v>4</v>
      </c>
      <c r="K71" s="8" t="s">
        <v>164</v>
      </c>
      <c r="L71" s="4">
        <v>4</v>
      </c>
      <c r="M71" s="8" t="s">
        <v>164</v>
      </c>
      <c r="N71" s="4">
        <v>4</v>
      </c>
      <c r="O71" s="10"/>
      <c r="P71" s="8" t="s">
        <v>512</v>
      </c>
      <c r="Q71" t="s">
        <v>769</v>
      </c>
      <c r="R71" s="5">
        <v>715</v>
      </c>
      <c r="S71" s="5">
        <v>15</v>
      </c>
      <c r="T71" s="5">
        <v>570</v>
      </c>
      <c r="U71" s="5">
        <v>0.01</v>
      </c>
      <c r="V71" t="s">
        <v>770</v>
      </c>
      <c r="W71" s="10"/>
      <c r="X71" t="s">
        <v>515</v>
      </c>
      <c r="AC71" t="s">
        <v>515</v>
      </c>
      <c r="AG71" t="s">
        <v>771</v>
      </c>
      <c r="AH71" t="s">
        <v>515</v>
      </c>
      <c r="AP71" t="s">
        <v>515</v>
      </c>
    </row>
    <row r="72" spans="1:48" x14ac:dyDescent="0.35">
      <c r="A72">
        <v>56</v>
      </c>
      <c r="B72" s="8" t="s">
        <v>785</v>
      </c>
      <c r="C72" s="8"/>
      <c r="D72" s="8" t="s">
        <v>924</v>
      </c>
      <c r="E72" s="8" t="s">
        <v>450</v>
      </c>
      <c r="F72" s="30"/>
      <c r="G72" s="30"/>
      <c r="H72" s="8" t="s">
        <v>528</v>
      </c>
      <c r="I72" s="8" t="s">
        <v>550</v>
      </c>
      <c r="J72" s="9">
        <v>4</v>
      </c>
      <c r="K72" s="8" t="s">
        <v>164</v>
      </c>
      <c r="L72" s="9">
        <v>4</v>
      </c>
      <c r="M72" s="8" t="s">
        <v>164</v>
      </c>
      <c r="N72" s="9">
        <v>4</v>
      </c>
      <c r="O72" s="10"/>
      <c r="P72" s="8" t="s">
        <v>512</v>
      </c>
      <c r="Q72" s="8" t="s">
        <v>786</v>
      </c>
      <c r="R72" s="11"/>
      <c r="S72" s="11"/>
      <c r="T72" s="11">
        <v>485.4</v>
      </c>
      <c r="U72" s="11">
        <v>5</v>
      </c>
      <c r="V72" s="10" t="s">
        <v>787</v>
      </c>
      <c r="W72" s="10"/>
      <c r="X72" s="8" t="s">
        <v>515</v>
      </c>
      <c r="Y72" s="8"/>
      <c r="Z72" s="8"/>
      <c r="AA72" s="8"/>
      <c r="AB72" s="8"/>
      <c r="AC72" s="8" t="s">
        <v>515</v>
      </c>
      <c r="AD72" s="12"/>
      <c r="AE72" s="12"/>
      <c r="AF72" s="12"/>
      <c r="AG72" s="12"/>
      <c r="AH72" t="s">
        <v>515</v>
      </c>
      <c r="AP72" t="s">
        <v>515</v>
      </c>
    </row>
    <row r="73" spans="1:48" x14ac:dyDescent="0.35">
      <c r="A73">
        <v>59</v>
      </c>
      <c r="B73" s="8" t="s">
        <v>798</v>
      </c>
      <c r="C73" s="8"/>
      <c r="D73" s="8" t="s">
        <v>924</v>
      </c>
      <c r="E73" s="8" t="s">
        <v>450</v>
      </c>
      <c r="F73" s="30"/>
      <c r="G73" s="30"/>
      <c r="H73" s="8" t="s">
        <v>528</v>
      </c>
      <c r="I73" s="8" t="s">
        <v>799</v>
      </c>
      <c r="J73" s="9">
        <v>4</v>
      </c>
      <c r="K73" s="8" t="s">
        <v>164</v>
      </c>
      <c r="L73" s="9">
        <v>4</v>
      </c>
      <c r="M73" s="8" t="s">
        <v>164</v>
      </c>
      <c r="N73" s="9">
        <v>4</v>
      </c>
      <c r="O73" s="10"/>
      <c r="P73" s="8" t="s">
        <v>512</v>
      </c>
      <c r="Q73" s="8" t="s">
        <v>800</v>
      </c>
      <c r="R73" s="11"/>
      <c r="S73" s="11"/>
      <c r="T73" s="11">
        <v>485.4</v>
      </c>
      <c r="U73" s="11">
        <v>5</v>
      </c>
      <c r="V73" s="10" t="s">
        <v>801</v>
      </c>
      <c r="W73" s="10"/>
      <c r="X73" s="8" t="s">
        <v>515</v>
      </c>
      <c r="Y73" s="8"/>
      <c r="Z73" s="8"/>
      <c r="AA73" s="8"/>
      <c r="AB73" s="8"/>
      <c r="AC73" s="8" t="s">
        <v>515</v>
      </c>
      <c r="AD73" s="12"/>
      <c r="AE73" s="12"/>
      <c r="AF73" s="12"/>
      <c r="AG73" s="12"/>
      <c r="AH73" t="s">
        <v>515</v>
      </c>
      <c r="AP73" t="s">
        <v>515</v>
      </c>
    </row>
    <row r="74" spans="1:48" x14ac:dyDescent="0.35">
      <c r="A74">
        <v>60</v>
      </c>
      <c r="B74" t="s">
        <v>802</v>
      </c>
      <c r="D74" s="8" t="s">
        <v>924</v>
      </c>
      <c r="E74" s="8" t="s">
        <v>468</v>
      </c>
      <c r="F74" s="30"/>
      <c r="G74" s="30"/>
      <c r="H74" s="8" t="s">
        <v>528</v>
      </c>
      <c r="I74" s="8" t="s">
        <v>1471</v>
      </c>
      <c r="J74" s="9">
        <v>4</v>
      </c>
      <c r="K74" s="8" t="s">
        <v>164</v>
      </c>
      <c r="L74" s="9">
        <v>4</v>
      </c>
      <c r="M74" s="8" t="s">
        <v>164</v>
      </c>
      <c r="N74" s="9">
        <v>4</v>
      </c>
      <c r="O74" s="10"/>
      <c r="P74" s="8" t="s">
        <v>512</v>
      </c>
      <c r="Q74" s="8" t="s">
        <v>803</v>
      </c>
      <c r="R74" s="11">
        <v>728</v>
      </c>
      <c r="S74" s="11">
        <v>32</v>
      </c>
      <c r="T74" s="11">
        <v>555</v>
      </c>
      <c r="U74" s="11">
        <v>28</v>
      </c>
      <c r="V74" s="10" t="s">
        <v>804</v>
      </c>
      <c r="W74" s="10"/>
      <c r="X74" t="s">
        <v>515</v>
      </c>
      <c r="Y74" s="8"/>
      <c r="Z74" s="8"/>
      <c r="AA74" s="8"/>
      <c r="AB74" s="8"/>
      <c r="AC74" t="s">
        <v>515</v>
      </c>
      <c r="AD74" s="12"/>
      <c r="AE74" s="12"/>
      <c r="AF74" s="12"/>
      <c r="AG74" s="12"/>
      <c r="AH74" t="s">
        <v>512</v>
      </c>
      <c r="AI74">
        <v>19</v>
      </c>
      <c r="AL74">
        <v>555</v>
      </c>
      <c r="AM74">
        <v>28</v>
      </c>
      <c r="AN74" t="s">
        <v>523</v>
      </c>
      <c r="AO74" t="s">
        <v>805</v>
      </c>
      <c r="AP74" t="s">
        <v>515</v>
      </c>
    </row>
    <row r="75" spans="1:48" x14ac:dyDescent="0.35">
      <c r="A75">
        <v>61</v>
      </c>
      <c r="B75" s="8" t="s">
        <v>806</v>
      </c>
      <c r="C75" s="8"/>
      <c r="D75" s="8" t="s">
        <v>924</v>
      </c>
      <c r="E75" s="8" t="s">
        <v>450</v>
      </c>
      <c r="F75" s="30"/>
      <c r="G75" s="30"/>
      <c r="H75" s="8" t="s">
        <v>528</v>
      </c>
      <c r="I75" s="8" t="s">
        <v>807</v>
      </c>
      <c r="J75" s="9">
        <v>3</v>
      </c>
      <c r="K75" s="8" t="s">
        <v>164</v>
      </c>
      <c r="L75" s="9">
        <v>3</v>
      </c>
      <c r="M75" s="8" t="s">
        <v>164</v>
      </c>
      <c r="N75" s="9">
        <v>3</v>
      </c>
      <c r="O75" s="10"/>
      <c r="P75" s="8" t="s">
        <v>512</v>
      </c>
      <c r="Q75" s="8" t="s">
        <v>808</v>
      </c>
      <c r="R75" s="11"/>
      <c r="S75" s="11"/>
      <c r="T75" s="11">
        <v>485.4</v>
      </c>
      <c r="U75" s="11">
        <v>5</v>
      </c>
      <c r="V75" s="10" t="s">
        <v>783</v>
      </c>
      <c r="W75" s="10"/>
      <c r="X75" s="8" t="s">
        <v>515</v>
      </c>
      <c r="Y75" s="8"/>
      <c r="Z75" s="8"/>
      <c r="AA75" s="8"/>
      <c r="AB75" s="8"/>
      <c r="AC75" s="8" t="s">
        <v>515</v>
      </c>
      <c r="AD75" s="12"/>
      <c r="AE75" s="12"/>
      <c r="AF75" s="12"/>
      <c r="AG75" s="12"/>
      <c r="AH75" t="s">
        <v>515</v>
      </c>
      <c r="AP75" t="s">
        <v>515</v>
      </c>
    </row>
    <row r="76" spans="1:48" x14ac:dyDescent="0.35">
      <c r="A76">
        <v>67</v>
      </c>
      <c r="B76" t="s">
        <v>831</v>
      </c>
      <c r="C76" t="s">
        <v>832</v>
      </c>
      <c r="D76" s="8" t="s">
        <v>924</v>
      </c>
      <c r="E76" s="8" t="s">
        <v>453</v>
      </c>
      <c r="F76" s="30"/>
      <c r="G76" s="30"/>
      <c r="H76" t="s">
        <v>528</v>
      </c>
      <c r="I76" s="8" t="s">
        <v>768</v>
      </c>
      <c r="J76" s="9">
        <v>3</v>
      </c>
      <c r="K76" s="8" t="s">
        <v>164</v>
      </c>
      <c r="L76" s="9">
        <v>3</v>
      </c>
      <c r="M76" s="8" t="s">
        <v>164</v>
      </c>
      <c r="N76" s="9">
        <v>3</v>
      </c>
      <c r="O76" s="10"/>
      <c r="P76" s="8" t="s">
        <v>512</v>
      </c>
      <c r="Q76" s="8" t="s">
        <v>833</v>
      </c>
      <c r="R76" s="11">
        <v>730</v>
      </c>
      <c r="S76" s="11">
        <v>0.01</v>
      </c>
      <c r="T76" s="11">
        <v>542</v>
      </c>
      <c r="U76" s="11">
        <v>0.01</v>
      </c>
      <c r="V76" s="10" t="s">
        <v>834</v>
      </c>
      <c r="W76" s="10"/>
      <c r="X76" t="s">
        <v>515</v>
      </c>
      <c r="AC76" t="s">
        <v>512</v>
      </c>
      <c r="AD76" t="s">
        <v>611</v>
      </c>
      <c r="AE76">
        <v>572</v>
      </c>
      <c r="AF76">
        <v>570</v>
      </c>
      <c r="AG76" t="s">
        <v>631</v>
      </c>
      <c r="AH76" t="s">
        <v>515</v>
      </c>
      <c r="AP76" t="s">
        <v>515</v>
      </c>
    </row>
    <row r="77" spans="1:48" x14ac:dyDescent="0.35">
      <c r="A77">
        <v>74</v>
      </c>
      <c r="B77" s="8" t="s">
        <v>859</v>
      </c>
      <c r="C77" s="8"/>
      <c r="D77" s="8" t="s">
        <v>924</v>
      </c>
      <c r="E77" s="8" t="s">
        <v>453</v>
      </c>
      <c r="F77" s="30"/>
      <c r="G77" s="30"/>
      <c r="H77" s="8" t="s">
        <v>528</v>
      </c>
      <c r="I77" s="8" t="s">
        <v>860</v>
      </c>
      <c r="J77" s="9">
        <v>4</v>
      </c>
      <c r="K77" s="8" t="s">
        <v>164</v>
      </c>
      <c r="L77" s="9">
        <v>4</v>
      </c>
      <c r="M77" s="8" t="s">
        <v>164</v>
      </c>
      <c r="N77" s="9">
        <v>4</v>
      </c>
      <c r="O77" s="10"/>
      <c r="P77" s="8" t="s">
        <v>512</v>
      </c>
      <c r="Q77" s="8" t="s">
        <v>861</v>
      </c>
      <c r="R77" s="11"/>
      <c r="S77" s="11"/>
      <c r="T77" s="11">
        <v>485.4</v>
      </c>
      <c r="U77" s="11">
        <v>1.9</v>
      </c>
      <c r="V77" s="10" t="s">
        <v>862</v>
      </c>
      <c r="W77" s="10"/>
      <c r="X77" s="8" t="s">
        <v>515</v>
      </c>
      <c r="Y77" s="8"/>
      <c r="Z77" s="8"/>
      <c r="AA77" s="8"/>
      <c r="AB77" s="8"/>
      <c r="AC77" s="8" t="s">
        <v>515</v>
      </c>
      <c r="AD77" s="12"/>
      <c r="AE77" s="12"/>
      <c r="AF77" s="12"/>
      <c r="AG77" s="12"/>
      <c r="AH77" t="s">
        <v>515</v>
      </c>
      <c r="AP77" t="s">
        <v>515</v>
      </c>
    </row>
    <row r="78" spans="1:48" x14ac:dyDescent="0.35">
      <c r="A78">
        <v>80</v>
      </c>
      <c r="B78" s="8" t="s">
        <v>881</v>
      </c>
      <c r="C78" s="8"/>
      <c r="D78" s="8" t="s">
        <v>924</v>
      </c>
      <c r="E78" s="8" t="s">
        <v>453</v>
      </c>
      <c r="F78" s="30"/>
      <c r="G78" s="30"/>
      <c r="H78" s="8" t="s">
        <v>528</v>
      </c>
      <c r="I78" s="8" t="s">
        <v>860</v>
      </c>
      <c r="J78" s="9">
        <v>3</v>
      </c>
      <c r="K78" s="8" t="s">
        <v>164</v>
      </c>
      <c r="L78" s="9">
        <v>3</v>
      </c>
      <c r="M78" s="8" t="s">
        <v>164</v>
      </c>
      <c r="N78" s="9">
        <v>3</v>
      </c>
      <c r="O78" s="10"/>
      <c r="P78" s="8" t="s">
        <v>512</v>
      </c>
      <c r="Q78" s="8" t="s">
        <v>882</v>
      </c>
      <c r="R78" s="11"/>
      <c r="S78" s="11"/>
      <c r="T78" s="11">
        <v>485.4</v>
      </c>
      <c r="U78" s="11">
        <v>1.9</v>
      </c>
      <c r="V78" s="10" t="s">
        <v>883</v>
      </c>
      <c r="W78" s="10"/>
      <c r="X78" s="8" t="s">
        <v>515</v>
      </c>
      <c r="Y78" s="8"/>
      <c r="Z78" s="8"/>
      <c r="AA78" s="8"/>
      <c r="AB78" s="8"/>
      <c r="AC78" s="8" t="s">
        <v>515</v>
      </c>
      <c r="AD78" s="12"/>
      <c r="AE78" s="12"/>
      <c r="AF78" s="12"/>
      <c r="AG78" s="12"/>
      <c r="AH78" t="s">
        <v>515</v>
      </c>
      <c r="AP78" t="s">
        <v>515</v>
      </c>
    </row>
    <row r="79" spans="1:48" x14ac:dyDescent="0.35">
      <c r="A79">
        <v>83</v>
      </c>
      <c r="B79" s="8" t="s">
        <v>894</v>
      </c>
      <c r="C79" s="8" t="s">
        <v>895</v>
      </c>
      <c r="D79" s="8" t="s">
        <v>924</v>
      </c>
      <c r="E79" s="8" t="s">
        <v>896</v>
      </c>
      <c r="F79" s="30"/>
      <c r="G79" s="30"/>
      <c r="H79" s="8" t="s">
        <v>528</v>
      </c>
      <c r="I79" s="8" t="s">
        <v>897</v>
      </c>
      <c r="J79" s="9">
        <v>3</v>
      </c>
      <c r="K79" s="8" t="s">
        <v>164</v>
      </c>
      <c r="L79" s="9">
        <v>3</v>
      </c>
      <c r="M79" s="8" t="s">
        <v>164</v>
      </c>
      <c r="N79" s="9">
        <v>3</v>
      </c>
      <c r="O79" s="10"/>
      <c r="P79" s="8" t="s">
        <v>512</v>
      </c>
      <c r="Q79" s="8" t="s">
        <v>898</v>
      </c>
      <c r="R79" s="11"/>
      <c r="S79" s="11"/>
      <c r="T79" s="11">
        <v>550</v>
      </c>
      <c r="U79" s="11">
        <v>50</v>
      </c>
      <c r="V79" s="10" t="s">
        <v>735</v>
      </c>
      <c r="W79" s="10"/>
      <c r="X79" s="8" t="s">
        <v>515</v>
      </c>
      <c r="Y79" s="8"/>
      <c r="Z79" s="8"/>
      <c r="AA79" s="8"/>
      <c r="AB79" s="8"/>
      <c r="AC79" s="8" t="s">
        <v>515</v>
      </c>
      <c r="AD79" s="12"/>
      <c r="AE79" s="12"/>
      <c r="AF79" s="12"/>
      <c r="AG79" s="12"/>
      <c r="AH79" t="s">
        <v>515</v>
      </c>
      <c r="AP79" t="s">
        <v>515</v>
      </c>
    </row>
    <row r="80" spans="1:48" x14ac:dyDescent="0.35">
      <c r="A80">
        <v>86</v>
      </c>
      <c r="B80" s="8" t="s">
        <v>901</v>
      </c>
      <c r="C80" s="8"/>
      <c r="D80" s="8" t="s">
        <v>924</v>
      </c>
      <c r="E80" s="8" t="s">
        <v>450</v>
      </c>
      <c r="F80" s="30"/>
      <c r="G80" s="30"/>
      <c r="H80" s="8" t="s">
        <v>528</v>
      </c>
      <c r="I80" s="8" t="s">
        <v>550</v>
      </c>
      <c r="J80" s="9">
        <v>4</v>
      </c>
      <c r="K80" s="8" t="s">
        <v>164</v>
      </c>
      <c r="L80" s="9">
        <v>4</v>
      </c>
      <c r="M80" s="8" t="s">
        <v>164</v>
      </c>
      <c r="N80" s="9">
        <v>4</v>
      </c>
      <c r="O80" s="10"/>
      <c r="P80" s="8" t="s">
        <v>512</v>
      </c>
      <c r="Q80" s="8" t="s">
        <v>902</v>
      </c>
      <c r="R80" s="11"/>
      <c r="S80" s="11"/>
      <c r="T80" s="11">
        <v>485.4</v>
      </c>
      <c r="U80" s="11">
        <v>5</v>
      </c>
      <c r="V80" s="10" t="s">
        <v>903</v>
      </c>
      <c r="W80" s="10"/>
      <c r="X80" s="8" t="s">
        <v>515</v>
      </c>
      <c r="Y80" s="8"/>
      <c r="Z80" s="8"/>
      <c r="AA80" s="8"/>
      <c r="AB80" s="8"/>
      <c r="AC80" s="8" t="s">
        <v>515</v>
      </c>
      <c r="AD80" s="12"/>
      <c r="AE80" s="12"/>
      <c r="AF80" s="12"/>
      <c r="AG80" s="12"/>
      <c r="AH80" t="s">
        <v>515</v>
      </c>
      <c r="AP80" t="s">
        <v>515</v>
      </c>
    </row>
    <row r="81" spans="1:48" x14ac:dyDescent="0.35">
      <c r="A81">
        <v>12</v>
      </c>
      <c r="B81" t="s">
        <v>51</v>
      </c>
      <c r="C81" t="s">
        <v>573</v>
      </c>
      <c r="D81" s="8" t="s">
        <v>924</v>
      </c>
      <c r="E81" s="8" t="s">
        <v>461</v>
      </c>
      <c r="F81" s="30"/>
      <c r="G81" s="30"/>
      <c r="H81" s="8" t="s">
        <v>982</v>
      </c>
      <c r="I81" s="8" t="s">
        <v>1499</v>
      </c>
      <c r="J81" s="4">
        <v>1</v>
      </c>
      <c r="K81" s="10" t="s">
        <v>1573</v>
      </c>
      <c r="L81" s="4">
        <v>1</v>
      </c>
      <c r="M81" t="s">
        <v>1432</v>
      </c>
      <c r="N81" s="4"/>
      <c r="O81" t="s">
        <v>1427</v>
      </c>
      <c r="P81" t="s">
        <v>515</v>
      </c>
      <c r="R81" s="5"/>
      <c r="S81" s="5"/>
      <c r="T81" s="5"/>
      <c r="U81" s="5"/>
      <c r="W81" s="10"/>
      <c r="X81" t="s">
        <v>515</v>
      </c>
      <c r="AC81" t="s">
        <v>515</v>
      </c>
      <c r="AH81" t="s">
        <v>512</v>
      </c>
      <c r="AI81">
        <v>16</v>
      </c>
      <c r="AJ81">
        <v>565</v>
      </c>
      <c r="AL81">
        <v>540</v>
      </c>
      <c r="AN81" t="s">
        <v>523</v>
      </c>
      <c r="AO81" t="s">
        <v>574</v>
      </c>
      <c r="AP81" t="s">
        <v>512</v>
      </c>
      <c r="AQ81">
        <v>28</v>
      </c>
      <c r="AR81" t="s">
        <v>525</v>
      </c>
      <c r="AS81" t="s">
        <v>315</v>
      </c>
      <c r="AT81">
        <v>565</v>
      </c>
      <c r="AU81">
        <v>560</v>
      </c>
      <c r="AV81" t="s">
        <v>575</v>
      </c>
    </row>
    <row r="82" spans="1:48" x14ac:dyDescent="0.35">
      <c r="A82">
        <v>58</v>
      </c>
      <c r="B82" t="s">
        <v>792</v>
      </c>
      <c r="C82" t="s">
        <v>793</v>
      </c>
      <c r="D82" s="8" t="s">
        <v>924</v>
      </c>
      <c r="E82" s="8" t="s">
        <v>461</v>
      </c>
      <c r="F82" s="30"/>
      <c r="G82" s="30"/>
      <c r="H82" t="s">
        <v>982</v>
      </c>
      <c r="I82" t="s">
        <v>1419</v>
      </c>
      <c r="J82" s="4">
        <v>2</v>
      </c>
      <c r="K82" s="10" t="s">
        <v>1573</v>
      </c>
      <c r="L82" s="4">
        <v>2</v>
      </c>
      <c r="M82" s="10" t="s">
        <v>1428</v>
      </c>
      <c r="N82" s="4">
        <v>3</v>
      </c>
      <c r="O82" s="10" t="s">
        <v>1429</v>
      </c>
      <c r="P82" t="s">
        <v>512</v>
      </c>
      <c r="Q82" t="s">
        <v>794</v>
      </c>
      <c r="R82" s="5">
        <v>562</v>
      </c>
      <c r="S82" s="5">
        <v>5</v>
      </c>
      <c r="T82" s="5">
        <v>538</v>
      </c>
      <c r="U82" s="5">
        <v>2</v>
      </c>
      <c r="V82" t="s">
        <v>795</v>
      </c>
      <c r="W82" s="10"/>
      <c r="X82" t="s">
        <v>512</v>
      </c>
      <c r="Y82" t="s">
        <v>796</v>
      </c>
      <c r="Z82">
        <v>569</v>
      </c>
      <c r="AA82">
        <v>560</v>
      </c>
      <c r="AB82" t="s">
        <v>797</v>
      </c>
      <c r="AC82" t="s">
        <v>512</v>
      </c>
      <c r="AD82" t="s">
        <v>315</v>
      </c>
      <c r="AE82">
        <v>566</v>
      </c>
      <c r="AF82">
        <v>564</v>
      </c>
      <c r="AG82" t="s">
        <v>536</v>
      </c>
      <c r="AH82" t="s">
        <v>512</v>
      </c>
      <c r="AI82">
        <v>16</v>
      </c>
      <c r="AJ82">
        <v>565</v>
      </c>
      <c r="AL82">
        <v>540</v>
      </c>
      <c r="AN82" t="s">
        <v>523</v>
      </c>
      <c r="AO82" t="s">
        <v>574</v>
      </c>
      <c r="AP82" t="s">
        <v>512</v>
      </c>
      <c r="AQ82">
        <v>28</v>
      </c>
      <c r="AR82" t="s">
        <v>525</v>
      </c>
      <c r="AS82" t="s">
        <v>315</v>
      </c>
      <c r="AT82">
        <v>565</v>
      </c>
      <c r="AU82">
        <v>560</v>
      </c>
      <c r="AV82" t="s">
        <v>575</v>
      </c>
    </row>
    <row r="83" spans="1:48" x14ac:dyDescent="0.35">
      <c r="A83">
        <v>17</v>
      </c>
      <c r="B83" t="s">
        <v>599</v>
      </c>
      <c r="D83" s="8" t="s">
        <v>924</v>
      </c>
      <c r="E83" s="8" t="s">
        <v>449</v>
      </c>
      <c r="F83" s="30"/>
      <c r="G83" s="30"/>
      <c r="H83" s="8"/>
      <c r="I83" t="s">
        <v>601</v>
      </c>
      <c r="J83" s="4"/>
      <c r="K83" s="13" t="s">
        <v>1434</v>
      </c>
      <c r="L83" s="4">
        <v>0</v>
      </c>
      <c r="M83" s="13" t="s">
        <v>600</v>
      </c>
      <c r="N83" s="4"/>
      <c r="O83" t="s">
        <v>1420</v>
      </c>
      <c r="P83" t="s">
        <v>515</v>
      </c>
      <c r="R83" s="5"/>
      <c r="S83" s="5"/>
      <c r="T83" s="5"/>
      <c r="U83" s="5"/>
      <c r="V83" s="10"/>
      <c r="W83" s="10"/>
      <c r="X83" t="s">
        <v>515</v>
      </c>
      <c r="Y83" s="8"/>
      <c r="Z83" s="8"/>
      <c r="AA83" s="8"/>
      <c r="AB83" s="8"/>
      <c r="AC83" t="s">
        <v>512</v>
      </c>
      <c r="AD83" s="8" t="s">
        <v>602</v>
      </c>
      <c r="AE83" s="8"/>
      <c r="AF83" s="8"/>
      <c r="AG83" s="8"/>
      <c r="AH83" t="s">
        <v>515</v>
      </c>
      <c r="AP83" t="s">
        <v>515</v>
      </c>
    </row>
    <row r="84" spans="1:48" x14ac:dyDescent="0.35">
      <c r="A84">
        <v>19</v>
      </c>
      <c r="B84" t="s">
        <v>604</v>
      </c>
      <c r="D84" s="8" t="s">
        <v>924</v>
      </c>
      <c r="E84" s="8" t="s">
        <v>450</v>
      </c>
      <c r="F84" s="30"/>
      <c r="G84" s="30"/>
      <c r="H84" s="8"/>
      <c r="I84" t="s">
        <v>601</v>
      </c>
      <c r="J84" s="4"/>
      <c r="K84" s="13" t="s">
        <v>1434</v>
      </c>
      <c r="L84" s="4">
        <v>0</v>
      </c>
      <c r="M84" s="13" t="s">
        <v>600</v>
      </c>
      <c r="N84" s="4"/>
      <c r="O84" t="s">
        <v>1421</v>
      </c>
      <c r="P84" t="s">
        <v>515</v>
      </c>
      <c r="R84" s="5"/>
      <c r="S84" s="5"/>
      <c r="T84" s="5"/>
      <c r="U84" s="5"/>
      <c r="W84" s="10"/>
      <c r="X84" t="s">
        <v>515</v>
      </c>
      <c r="AC84" t="s">
        <v>512</v>
      </c>
      <c r="AD84" t="s">
        <v>521</v>
      </c>
      <c r="AE84">
        <v>555</v>
      </c>
      <c r="AF84">
        <v>549</v>
      </c>
      <c r="AG84" t="s">
        <v>522</v>
      </c>
      <c r="AH84" t="s">
        <v>515</v>
      </c>
      <c r="AP84" t="s">
        <v>512</v>
      </c>
      <c r="AQ84">
        <v>19</v>
      </c>
      <c r="AR84" t="s">
        <v>605</v>
      </c>
      <c r="AS84" t="s">
        <v>521</v>
      </c>
      <c r="AT84">
        <v>562</v>
      </c>
      <c r="AU84">
        <v>551</v>
      </c>
    </row>
    <row r="85" spans="1:48" x14ac:dyDescent="0.35">
      <c r="A85">
        <v>21</v>
      </c>
      <c r="B85" t="s">
        <v>615</v>
      </c>
      <c r="C85" t="s">
        <v>616</v>
      </c>
      <c r="D85" s="8" t="s">
        <v>924</v>
      </c>
      <c r="E85" s="8" t="s">
        <v>464</v>
      </c>
      <c r="F85" s="30"/>
      <c r="G85" s="30"/>
      <c r="I85" t="s">
        <v>601</v>
      </c>
      <c r="J85" s="4"/>
      <c r="K85" s="13" t="s">
        <v>1434</v>
      </c>
      <c r="L85" s="4">
        <v>0</v>
      </c>
      <c r="M85" s="3" t="s">
        <v>600</v>
      </c>
      <c r="N85" s="4"/>
      <c r="O85" t="s">
        <v>1421</v>
      </c>
      <c r="P85" t="s">
        <v>515</v>
      </c>
      <c r="R85" s="5"/>
      <c r="S85" s="5"/>
      <c r="T85" s="5"/>
      <c r="U85" s="5"/>
      <c r="W85" s="10"/>
      <c r="X85" t="s">
        <v>515</v>
      </c>
      <c r="AC85" t="s">
        <v>512</v>
      </c>
      <c r="AD85" t="s">
        <v>521</v>
      </c>
      <c r="AE85">
        <v>555</v>
      </c>
      <c r="AF85">
        <v>549</v>
      </c>
      <c r="AG85" t="s">
        <v>522</v>
      </c>
      <c r="AH85" t="s">
        <v>515</v>
      </c>
      <c r="AP85" t="s">
        <v>512</v>
      </c>
      <c r="AQ85">
        <v>3</v>
      </c>
      <c r="AR85" t="s">
        <v>617</v>
      </c>
      <c r="AS85" t="s">
        <v>521</v>
      </c>
      <c r="AT85">
        <v>562</v>
      </c>
      <c r="AU85">
        <v>551</v>
      </c>
    </row>
    <row r="86" spans="1:48" x14ac:dyDescent="0.35">
      <c r="A86">
        <v>31</v>
      </c>
      <c r="B86" t="s">
        <v>667</v>
      </c>
      <c r="C86" t="s">
        <v>668</v>
      </c>
      <c r="D86" s="8" t="s">
        <v>924</v>
      </c>
      <c r="E86" s="8" t="s">
        <v>446</v>
      </c>
      <c r="F86" s="30"/>
      <c r="G86" s="30"/>
      <c r="I86" t="s">
        <v>601</v>
      </c>
      <c r="J86" s="4"/>
      <c r="K86" s="13" t="s">
        <v>1434</v>
      </c>
      <c r="L86" s="4">
        <v>0</v>
      </c>
      <c r="M86" s="13" t="s">
        <v>669</v>
      </c>
      <c r="N86" s="4">
        <v>0</v>
      </c>
      <c r="O86" s="6" t="s">
        <v>670</v>
      </c>
      <c r="P86" s="8" t="s">
        <v>515</v>
      </c>
      <c r="Q86" s="8"/>
      <c r="R86" s="5"/>
      <c r="S86" s="5"/>
      <c r="T86" s="5"/>
      <c r="U86" s="5"/>
      <c r="V86" s="10"/>
      <c r="W86" s="10"/>
      <c r="X86" t="s">
        <v>515</v>
      </c>
      <c r="AC86" t="s">
        <v>512</v>
      </c>
      <c r="AD86" t="s">
        <v>315</v>
      </c>
      <c r="AE86">
        <v>566</v>
      </c>
      <c r="AF86">
        <v>564</v>
      </c>
      <c r="AG86" t="s">
        <v>536</v>
      </c>
      <c r="AH86" t="s">
        <v>515</v>
      </c>
      <c r="AP86" t="s">
        <v>515</v>
      </c>
    </row>
    <row r="87" spans="1:48" x14ac:dyDescent="0.35">
      <c r="A87">
        <v>34</v>
      </c>
      <c r="B87" t="s">
        <v>682</v>
      </c>
      <c r="C87" t="s">
        <v>683</v>
      </c>
      <c r="D87" s="8" t="s">
        <v>924</v>
      </c>
      <c r="E87" s="8" t="s">
        <v>446</v>
      </c>
      <c r="F87" s="30"/>
      <c r="G87" s="30"/>
      <c r="I87" t="s">
        <v>601</v>
      </c>
      <c r="J87" s="4"/>
      <c r="K87" s="13" t="s">
        <v>1434</v>
      </c>
      <c r="L87" s="4">
        <v>0</v>
      </c>
      <c r="M87" s="13" t="s">
        <v>669</v>
      </c>
      <c r="N87" s="4">
        <v>0</v>
      </c>
      <c r="O87" s="6" t="s">
        <v>684</v>
      </c>
      <c r="P87" s="8" t="s">
        <v>515</v>
      </c>
      <c r="Q87" s="8"/>
      <c r="R87" s="5"/>
      <c r="S87" s="5"/>
      <c r="T87" s="5"/>
      <c r="U87" s="5"/>
      <c r="V87" s="10"/>
      <c r="W87" s="10"/>
      <c r="X87" t="s">
        <v>515</v>
      </c>
      <c r="AC87" t="s">
        <v>512</v>
      </c>
      <c r="AD87" t="s">
        <v>521</v>
      </c>
      <c r="AE87">
        <v>555</v>
      </c>
      <c r="AF87">
        <v>549</v>
      </c>
      <c r="AG87" t="s">
        <v>522</v>
      </c>
      <c r="AH87" t="s">
        <v>515</v>
      </c>
      <c r="AP87" t="s">
        <v>515</v>
      </c>
    </row>
    <row r="88" spans="1:48" x14ac:dyDescent="0.35">
      <c r="A88">
        <v>49</v>
      </c>
      <c r="B88" t="s">
        <v>761</v>
      </c>
      <c r="C88" t="s">
        <v>762</v>
      </c>
      <c r="D88" s="8" t="s">
        <v>924</v>
      </c>
      <c r="E88" s="8" t="s">
        <v>464</v>
      </c>
      <c r="F88" s="30"/>
      <c r="G88" s="30"/>
      <c r="I88" t="s">
        <v>601</v>
      </c>
      <c r="J88" s="4"/>
      <c r="K88" s="13" t="s">
        <v>1434</v>
      </c>
      <c r="L88" s="4">
        <v>0</v>
      </c>
      <c r="M88" s="3" t="s">
        <v>600</v>
      </c>
      <c r="N88" s="4"/>
      <c r="O88" t="s">
        <v>1421</v>
      </c>
      <c r="P88" t="s">
        <v>515</v>
      </c>
      <c r="R88" s="5"/>
      <c r="S88" s="5"/>
      <c r="T88" s="5"/>
      <c r="U88" s="5"/>
      <c r="W88" s="10"/>
      <c r="X88" t="s">
        <v>515</v>
      </c>
      <c r="AC88" t="s">
        <v>512</v>
      </c>
      <c r="AD88" t="s">
        <v>315</v>
      </c>
      <c r="AE88">
        <v>566</v>
      </c>
      <c r="AF88">
        <v>564</v>
      </c>
      <c r="AG88" t="s">
        <v>536</v>
      </c>
      <c r="AH88" t="s">
        <v>515</v>
      </c>
      <c r="AP88" t="s">
        <v>515</v>
      </c>
    </row>
    <row r="89" spans="1:48" x14ac:dyDescent="0.35">
      <c r="A89">
        <v>53</v>
      </c>
      <c r="B89" t="s">
        <v>772</v>
      </c>
      <c r="D89" s="8" t="s">
        <v>924</v>
      </c>
      <c r="E89" s="8" t="s">
        <v>446</v>
      </c>
      <c r="F89" s="30"/>
      <c r="G89" s="30"/>
      <c r="I89" t="s">
        <v>601</v>
      </c>
      <c r="J89" s="4"/>
      <c r="K89" s="13" t="s">
        <v>1434</v>
      </c>
      <c r="L89" s="4">
        <v>0</v>
      </c>
      <c r="M89" s="3" t="s">
        <v>600</v>
      </c>
      <c r="N89" s="4"/>
      <c r="O89" t="s">
        <v>1420</v>
      </c>
      <c r="P89" t="s">
        <v>515</v>
      </c>
      <c r="R89" s="5"/>
      <c r="S89" s="5"/>
      <c r="T89" s="5"/>
      <c r="U89" s="5"/>
      <c r="W89" s="10"/>
      <c r="X89" t="s">
        <v>515</v>
      </c>
      <c r="AC89" t="s">
        <v>512</v>
      </c>
      <c r="AD89" t="s">
        <v>315</v>
      </c>
      <c r="AE89">
        <v>566</v>
      </c>
      <c r="AF89">
        <v>564</v>
      </c>
      <c r="AG89" t="s">
        <v>536</v>
      </c>
      <c r="AH89" t="s">
        <v>515</v>
      </c>
      <c r="AP89" t="s">
        <v>512</v>
      </c>
      <c r="AQ89">
        <v>36</v>
      </c>
      <c r="AR89" t="s">
        <v>538</v>
      </c>
      <c r="AS89" t="s">
        <v>315</v>
      </c>
      <c r="AT89">
        <v>565</v>
      </c>
      <c r="AU89">
        <v>560</v>
      </c>
    </row>
    <row r="90" spans="1:48" x14ac:dyDescent="0.35">
      <c r="A90">
        <v>70</v>
      </c>
      <c r="B90" t="s">
        <v>846</v>
      </c>
      <c r="C90" t="s">
        <v>847</v>
      </c>
      <c r="D90" s="8" t="s">
        <v>924</v>
      </c>
      <c r="E90" s="8" t="s">
        <v>446</v>
      </c>
      <c r="F90" s="30"/>
      <c r="G90" s="30"/>
      <c r="I90" t="s">
        <v>601</v>
      </c>
      <c r="J90" s="4"/>
      <c r="K90" s="13" t="s">
        <v>1434</v>
      </c>
      <c r="L90" s="4">
        <v>0</v>
      </c>
      <c r="M90" s="13" t="s">
        <v>669</v>
      </c>
      <c r="N90" s="4">
        <v>0</v>
      </c>
      <c r="O90" s="6" t="s">
        <v>684</v>
      </c>
      <c r="P90" s="8" t="s">
        <v>515</v>
      </c>
      <c r="Q90" s="8"/>
      <c r="R90" s="9"/>
      <c r="S90" s="9"/>
      <c r="T90" s="9"/>
      <c r="U90" s="9"/>
      <c r="V90" s="10"/>
      <c r="W90" s="10"/>
      <c r="X90" t="s">
        <v>515</v>
      </c>
      <c r="AC90" t="s">
        <v>512</v>
      </c>
      <c r="AD90" t="s">
        <v>521</v>
      </c>
      <c r="AE90">
        <v>555</v>
      </c>
      <c r="AF90">
        <v>549</v>
      </c>
      <c r="AG90" t="s">
        <v>522</v>
      </c>
      <c r="AH90" t="s">
        <v>515</v>
      </c>
      <c r="AP90" t="s">
        <v>515</v>
      </c>
    </row>
    <row r="91" spans="1:48" x14ac:dyDescent="0.35">
      <c r="A91">
        <v>71</v>
      </c>
      <c r="B91" t="s">
        <v>848</v>
      </c>
      <c r="C91" t="s">
        <v>849</v>
      </c>
      <c r="D91" s="8" t="s">
        <v>924</v>
      </c>
      <c r="E91" s="8" t="s">
        <v>446</v>
      </c>
      <c r="F91" s="30"/>
      <c r="G91" s="30"/>
      <c r="I91" t="s">
        <v>601</v>
      </c>
      <c r="J91" s="4"/>
      <c r="K91" s="13" t="s">
        <v>1434</v>
      </c>
      <c r="L91" s="4">
        <v>0</v>
      </c>
      <c r="M91" s="13" t="s">
        <v>669</v>
      </c>
      <c r="N91" s="4">
        <v>0</v>
      </c>
      <c r="O91" s="6" t="s">
        <v>670</v>
      </c>
      <c r="P91" s="8" t="s">
        <v>515</v>
      </c>
      <c r="Q91" s="8"/>
      <c r="R91" s="9"/>
      <c r="S91" s="9"/>
      <c r="T91" s="9"/>
      <c r="U91" s="9"/>
      <c r="V91" s="10"/>
      <c r="W91" s="10"/>
      <c r="X91" t="s">
        <v>515</v>
      </c>
      <c r="AC91" t="s">
        <v>512</v>
      </c>
      <c r="AD91" t="s">
        <v>315</v>
      </c>
      <c r="AE91">
        <v>566</v>
      </c>
      <c r="AF91">
        <v>564</v>
      </c>
      <c r="AG91" t="s">
        <v>536</v>
      </c>
      <c r="AH91" t="s">
        <v>515</v>
      </c>
      <c r="AP91" t="s">
        <v>515</v>
      </c>
    </row>
    <row r="92" spans="1:48" x14ac:dyDescent="0.35">
      <c r="A92">
        <v>84</v>
      </c>
      <c r="B92" t="s">
        <v>899</v>
      </c>
      <c r="D92" s="8" t="s">
        <v>924</v>
      </c>
      <c r="E92" s="8" t="s">
        <v>450</v>
      </c>
      <c r="F92" s="30"/>
      <c r="G92" s="30"/>
      <c r="I92" t="s">
        <v>601</v>
      </c>
      <c r="J92" s="4"/>
      <c r="K92" s="13" t="s">
        <v>1434</v>
      </c>
      <c r="L92" s="4">
        <v>0</v>
      </c>
      <c r="M92" s="3" t="s">
        <v>600</v>
      </c>
      <c r="N92" s="4"/>
      <c r="O92" t="s">
        <v>1420</v>
      </c>
      <c r="P92" t="s">
        <v>515</v>
      </c>
      <c r="R92" s="4"/>
      <c r="S92" s="4"/>
      <c r="T92" s="4"/>
      <c r="U92" s="4"/>
      <c r="W92" s="10"/>
      <c r="X92" t="s">
        <v>515</v>
      </c>
      <c r="AC92" t="s">
        <v>512</v>
      </c>
      <c r="AD92" t="s">
        <v>611</v>
      </c>
      <c r="AE92">
        <v>572</v>
      </c>
      <c r="AF92">
        <v>570</v>
      </c>
      <c r="AG92" t="s">
        <v>631</v>
      </c>
      <c r="AH92" t="s">
        <v>515</v>
      </c>
      <c r="AP92" t="s">
        <v>512</v>
      </c>
      <c r="AQ92">
        <v>21</v>
      </c>
      <c r="AR92" t="s">
        <v>841</v>
      </c>
      <c r="AS92" t="s">
        <v>611</v>
      </c>
      <c r="AT92">
        <v>571</v>
      </c>
      <c r="AU92">
        <v>571</v>
      </c>
    </row>
  </sheetData>
  <autoFilter ref="A1:CN92" xr:uid="{81A75E92-0EB8-466D-9C4C-61C8E273062A}">
    <sortState xmlns:xlrd2="http://schemas.microsoft.com/office/spreadsheetml/2017/richdata2" ref="A2:AV92">
      <sortCondition descending="1" ref="H1:H92"/>
    </sortState>
  </autoFilter>
  <phoneticPr fontId="2" type="noConversion"/>
  <conditionalFormatting sqref="A1:XFD1048576">
    <cfRule type="containsBlanks" dxfId="4" priority="8">
      <formula>LEN(TRIM(A1))=0</formula>
    </cfRule>
  </conditionalFormatting>
  <dataValidations count="2">
    <dataValidation errorStyle="warning" allowBlank="1" showInputMessage="1" showErrorMessage="1" sqref="N45 B13 B39 B41 H45:J45 B45 L45 H2:I89 E2:E89 F2:G92" xr:uid="{7C0D0CB5-CF8B-4308-9D4D-AC4B84DE831F}"/>
    <dataValidation type="list" allowBlank="1" showInputMessage="1" showErrorMessage="1" sqref="D2:D1048576" xr:uid="{DC07321D-36FB-49AF-9DEA-02818663C338}">
      <formula1>"glacial, evaporite, oolite, laterite, calcrete"</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7580A-52CB-49E5-BD42-E612AC27FD35}">
  <dimension ref="A1:AJ215"/>
  <sheetViews>
    <sheetView tabSelected="1" zoomScale="70" zoomScaleNormal="70" workbookViewId="0">
      <pane xSplit="4" ySplit="1" topLeftCell="AA110" activePane="bottomRight" state="frozen"/>
      <selection pane="topRight" activeCell="D1" sqref="D1"/>
      <selection pane="bottomLeft" activeCell="A2" sqref="A2"/>
      <selection pane="bottomRight" activeCell="AB129" sqref="AB129"/>
    </sheetView>
  </sheetViews>
  <sheetFormatPr defaultRowHeight="14.5" x14ac:dyDescent="0.35"/>
  <cols>
    <col min="1" max="1" width="9.81640625" style="21" bestFit="1" customWidth="1"/>
    <col min="2" max="2" width="12.90625" style="21" bestFit="1" customWidth="1"/>
    <col min="3" max="3" width="29.26953125" style="21" customWidth="1"/>
    <col min="4" max="4" width="27.36328125" style="21" customWidth="1"/>
    <col min="5" max="5" width="20.1796875" style="21" bestFit="1" customWidth="1"/>
    <col min="6" max="6" width="59" style="21" customWidth="1"/>
    <col min="7" max="7" width="19.7265625" style="21" bestFit="1" customWidth="1"/>
    <col min="8" max="8" width="24.90625" style="21" bestFit="1" customWidth="1"/>
    <col min="9" max="9" width="21.90625" style="21" bestFit="1" customWidth="1"/>
    <col min="10" max="10" width="22.36328125" style="21" bestFit="1" customWidth="1"/>
    <col min="11" max="11" width="14.26953125" style="21" bestFit="1" customWidth="1"/>
    <col min="12" max="12" width="10.1796875" style="21" bestFit="1" customWidth="1"/>
    <col min="13" max="13" width="14" style="21" bestFit="1" customWidth="1"/>
    <col min="14" max="15" width="24" style="21" customWidth="1"/>
    <col min="16" max="16" width="15.08984375" style="21" bestFit="1" customWidth="1"/>
    <col min="17" max="17" width="21.81640625" style="21" bestFit="1" customWidth="1"/>
    <col min="18" max="18" width="27.26953125" style="21" bestFit="1" customWidth="1"/>
    <col min="19" max="19" width="22.1796875" style="21" bestFit="1" customWidth="1"/>
    <col min="20" max="21" width="21.90625" style="21" bestFit="1" customWidth="1"/>
    <col min="22" max="22" width="21.81640625" style="21" bestFit="1" customWidth="1"/>
    <col min="23" max="23" width="27" style="21" bestFit="1" customWidth="1"/>
    <col min="24" max="25" width="61" style="21" customWidth="1"/>
    <col min="26" max="26" width="21.08984375" style="21" bestFit="1" customWidth="1"/>
    <col min="27" max="27" width="25.1796875" style="21" bestFit="1" customWidth="1"/>
    <col min="28" max="28" width="25.453125" style="21" bestFit="1" customWidth="1"/>
    <col min="29" max="29" width="22.90625" style="21" bestFit="1" customWidth="1"/>
    <col min="30" max="30" width="27.81640625" style="21" bestFit="1" customWidth="1"/>
    <col min="31" max="31" width="23.26953125" style="21" bestFit="1" customWidth="1"/>
    <col min="32" max="32" width="61.7265625" style="21" customWidth="1"/>
    <col min="33" max="33" width="23.54296875" style="21" bestFit="1" customWidth="1"/>
    <col min="34" max="34" width="24.81640625" style="21" customWidth="1"/>
    <col min="35" max="35" width="19.90625" style="21" bestFit="1" customWidth="1"/>
    <col min="36" max="36" width="17" style="21" bestFit="1" customWidth="1"/>
    <col min="37" max="16384" width="8.7265625" style="21"/>
  </cols>
  <sheetData>
    <row r="1" spans="1:36" s="18" customFormat="1" x14ac:dyDescent="0.35">
      <c r="A1" s="18" t="s">
        <v>1588</v>
      </c>
      <c r="B1" s="16" t="s">
        <v>929</v>
      </c>
      <c r="C1" s="17" t="s">
        <v>927</v>
      </c>
      <c r="D1" s="18" t="s">
        <v>1088</v>
      </c>
      <c r="E1" s="18" t="s">
        <v>1352</v>
      </c>
      <c r="F1" s="18" t="s">
        <v>1520</v>
      </c>
      <c r="G1" s="18" t="s">
        <v>1505</v>
      </c>
      <c r="H1" s="18" t="s">
        <v>1353</v>
      </c>
      <c r="I1" s="18" t="s">
        <v>1369</v>
      </c>
      <c r="J1" s="18" t="s">
        <v>1365</v>
      </c>
      <c r="K1" s="18" t="s">
        <v>1366</v>
      </c>
      <c r="L1" s="18" t="s">
        <v>1367</v>
      </c>
      <c r="M1" s="18" t="s">
        <v>1368</v>
      </c>
      <c r="N1" s="18" t="s">
        <v>931</v>
      </c>
      <c r="O1" s="18" t="s">
        <v>932</v>
      </c>
      <c r="P1" s="18" t="s">
        <v>1362</v>
      </c>
      <c r="Q1" s="18" t="s">
        <v>1363</v>
      </c>
      <c r="R1" s="18" t="s">
        <v>1364</v>
      </c>
      <c r="S1" s="19" t="s">
        <v>1356</v>
      </c>
      <c r="T1" s="19" t="s">
        <v>1357</v>
      </c>
      <c r="U1" s="19" t="s">
        <v>1358</v>
      </c>
      <c r="V1" s="19" t="s">
        <v>1359</v>
      </c>
      <c r="W1" s="19" t="s">
        <v>1360</v>
      </c>
      <c r="X1" s="18" t="s">
        <v>1361</v>
      </c>
      <c r="Y1" s="18" t="s">
        <v>1355</v>
      </c>
      <c r="Z1" s="18" t="s">
        <v>933</v>
      </c>
      <c r="AA1" s="18" t="s">
        <v>934</v>
      </c>
      <c r="AB1" s="18" t="s">
        <v>935</v>
      </c>
      <c r="AC1" s="18" t="s">
        <v>936</v>
      </c>
      <c r="AD1" s="18" t="s">
        <v>937</v>
      </c>
      <c r="AE1" s="18" t="s">
        <v>938</v>
      </c>
      <c r="AF1" s="17" t="s">
        <v>1354</v>
      </c>
      <c r="AG1" s="18" t="s">
        <v>939</v>
      </c>
      <c r="AH1" s="18" t="s">
        <v>940</v>
      </c>
      <c r="AI1" s="18" t="s">
        <v>941</v>
      </c>
      <c r="AJ1" s="18" t="s">
        <v>942</v>
      </c>
    </row>
    <row r="2" spans="1:36" x14ac:dyDescent="0.35">
      <c r="A2" s="21">
        <v>1</v>
      </c>
      <c r="B2" s="20">
        <f>_xlfn.XLOOKUP(C2, csl_deposits!B:B, csl_deposits!A:A, "NA", 0,1)</f>
        <v>1</v>
      </c>
      <c r="C2" s="21" t="s">
        <v>509</v>
      </c>
      <c r="D2" s="21" t="s">
        <v>18</v>
      </c>
      <c r="E2" s="21" t="s">
        <v>1190</v>
      </c>
      <c r="G2" s="21" t="s">
        <v>1</v>
      </c>
      <c r="H2" s="21" t="s">
        <v>1185</v>
      </c>
      <c r="I2" s="21" t="s">
        <v>12</v>
      </c>
      <c r="J2" s="21" t="s">
        <v>13</v>
      </c>
      <c r="K2" s="21" t="s">
        <v>7</v>
      </c>
      <c r="L2" s="21">
        <v>579</v>
      </c>
      <c r="M2" s="21">
        <v>17</v>
      </c>
      <c r="P2" s="21" t="s">
        <v>14</v>
      </c>
      <c r="Q2" s="21" t="s">
        <v>9</v>
      </c>
      <c r="S2" s="21">
        <v>579</v>
      </c>
      <c r="T2" s="21">
        <v>17</v>
      </c>
      <c r="X2" s="21" t="s">
        <v>1189</v>
      </c>
      <c r="Y2" s="22"/>
      <c r="Z2" s="21" t="s">
        <v>15</v>
      </c>
      <c r="AB2" s="21" t="s">
        <v>19</v>
      </c>
      <c r="AG2" s="21" t="s">
        <v>10</v>
      </c>
    </row>
    <row r="3" spans="1:36" x14ac:dyDescent="0.35">
      <c r="A3" s="21">
        <v>2</v>
      </c>
      <c r="B3" s="20">
        <f>_xlfn.XLOOKUP(C3, csl_deposits!B:B, csl_deposits!A:A, "NA", 0,1)</f>
        <v>1</v>
      </c>
      <c r="C3" s="21" t="s">
        <v>509</v>
      </c>
      <c r="D3" s="21" t="s">
        <v>20</v>
      </c>
      <c r="E3" s="21" t="s">
        <v>1190</v>
      </c>
      <c r="G3" s="21" t="s">
        <v>1</v>
      </c>
      <c r="H3" s="21" t="s">
        <v>1185</v>
      </c>
      <c r="I3" s="21" t="s">
        <v>12</v>
      </c>
      <c r="J3" s="21" t="s">
        <v>0</v>
      </c>
      <c r="K3" s="21" t="s">
        <v>7</v>
      </c>
      <c r="L3" s="21">
        <v>604</v>
      </c>
      <c r="M3" s="21">
        <v>18</v>
      </c>
      <c r="P3" s="21" t="s">
        <v>14</v>
      </c>
      <c r="Q3" s="21" t="s">
        <v>9</v>
      </c>
      <c r="S3" s="21">
        <v>604</v>
      </c>
      <c r="T3" s="21">
        <v>18</v>
      </c>
      <c r="X3" s="21" t="s">
        <v>1189</v>
      </c>
      <c r="Y3" s="21" t="s">
        <v>21</v>
      </c>
      <c r="Z3" s="21" t="s">
        <v>15</v>
      </c>
      <c r="AB3" s="21" t="s">
        <v>19</v>
      </c>
      <c r="AG3" s="21" t="s">
        <v>10</v>
      </c>
    </row>
    <row r="4" spans="1:36" x14ac:dyDescent="0.35">
      <c r="A4" s="21">
        <v>3</v>
      </c>
      <c r="B4" s="20">
        <f>_xlfn.XLOOKUP(C4, csl_deposits!B:B, csl_deposits!A:A, "NA", 0,1)</f>
        <v>1</v>
      </c>
      <c r="C4" s="21" t="s">
        <v>509</v>
      </c>
      <c r="D4" s="21" t="s">
        <v>3</v>
      </c>
      <c r="E4" s="21" t="s">
        <v>1184</v>
      </c>
      <c r="F4" s="21" t="s">
        <v>1187</v>
      </c>
      <c r="G4" s="21" t="s">
        <v>0</v>
      </c>
      <c r="H4" s="21" t="s">
        <v>1185</v>
      </c>
      <c r="I4" s="21" t="s">
        <v>5</v>
      </c>
      <c r="J4" s="21" t="s">
        <v>6</v>
      </c>
      <c r="K4" s="21" t="s">
        <v>7</v>
      </c>
      <c r="L4" s="21">
        <v>618.16999999999996</v>
      </c>
      <c r="M4" s="21">
        <v>0.89</v>
      </c>
      <c r="P4" s="21" t="s">
        <v>8</v>
      </c>
      <c r="Q4" s="21" t="s">
        <v>9</v>
      </c>
      <c r="S4" s="21">
        <v>618.16999999999996</v>
      </c>
      <c r="T4" s="21">
        <v>0.2</v>
      </c>
      <c r="U4" s="21">
        <v>0.62</v>
      </c>
      <c r="V4" s="21">
        <v>0.89</v>
      </c>
      <c r="W4" s="21">
        <v>0.65</v>
      </c>
      <c r="X4" s="21" t="s">
        <v>1186</v>
      </c>
      <c r="Y4" s="22"/>
      <c r="AD4" s="21" t="s">
        <v>5</v>
      </c>
      <c r="AG4" s="21" t="s">
        <v>10</v>
      </c>
    </row>
    <row r="5" spans="1:36" x14ac:dyDescent="0.35">
      <c r="A5" s="21">
        <v>4</v>
      </c>
      <c r="B5" s="20">
        <f>_xlfn.XLOOKUP(C5, csl_deposits!B:B, csl_deposits!A:A, "NA", 0,1)</f>
        <v>1</v>
      </c>
      <c r="C5" s="21" t="s">
        <v>509</v>
      </c>
      <c r="D5" s="21" t="s">
        <v>11</v>
      </c>
      <c r="E5" s="21" t="s">
        <v>1188</v>
      </c>
      <c r="G5" s="21" t="s">
        <v>2</v>
      </c>
      <c r="H5" s="21" t="s">
        <v>1185</v>
      </c>
      <c r="I5" s="21" t="s">
        <v>12</v>
      </c>
      <c r="J5" s="21" t="s">
        <v>13</v>
      </c>
      <c r="K5" s="21" t="s">
        <v>7</v>
      </c>
      <c r="L5" s="21">
        <v>596</v>
      </c>
      <c r="M5" s="21">
        <v>17</v>
      </c>
      <c r="P5" s="21" t="s">
        <v>14</v>
      </c>
      <c r="Q5" s="21" t="s">
        <v>9</v>
      </c>
      <c r="S5" s="21">
        <v>596</v>
      </c>
      <c r="T5" s="21">
        <v>17</v>
      </c>
      <c r="X5" s="21" t="s">
        <v>1189</v>
      </c>
      <c r="Y5" s="22"/>
      <c r="Z5" s="21" t="s">
        <v>15</v>
      </c>
      <c r="AB5" s="21" t="s">
        <v>16</v>
      </c>
      <c r="AC5" s="21" t="s">
        <v>17</v>
      </c>
      <c r="AG5" s="21" t="s">
        <v>10</v>
      </c>
    </row>
    <row r="6" spans="1:36" x14ac:dyDescent="0.35">
      <c r="A6" s="21">
        <v>5</v>
      </c>
      <c r="B6" s="20">
        <f>_xlfn.XLOOKUP(C6, csl_deposits!B:B, csl_deposits!A:A, "NA", 0,1)</f>
        <v>2</v>
      </c>
      <c r="C6" s="21" t="s">
        <v>516</v>
      </c>
      <c r="E6" s="21" t="s">
        <v>1190</v>
      </c>
      <c r="F6" s="21" t="s">
        <v>1192</v>
      </c>
      <c r="G6" s="21" t="s">
        <v>1</v>
      </c>
      <c r="H6" s="21" t="s">
        <v>1191</v>
      </c>
      <c r="J6" s="21" t="s">
        <v>1</v>
      </c>
      <c r="L6" s="21">
        <v>538.79999999999995</v>
      </c>
      <c r="AB6" s="21" t="s">
        <v>1193</v>
      </c>
      <c r="AG6" s="21" t="s">
        <v>22</v>
      </c>
      <c r="AH6" s="21" t="s">
        <v>1371</v>
      </c>
    </row>
    <row r="7" spans="1:36" x14ac:dyDescent="0.35">
      <c r="A7" s="21">
        <v>6</v>
      </c>
      <c r="B7" s="20">
        <f>_xlfn.XLOOKUP(C7, csl_deposits!B:B, csl_deposits!A:A, "NA", 0,1)</f>
        <v>2</v>
      </c>
      <c r="C7" s="21" t="s">
        <v>516</v>
      </c>
      <c r="E7" s="21" t="s">
        <v>1190</v>
      </c>
      <c r="F7" s="21" t="s">
        <v>1192</v>
      </c>
      <c r="G7" s="21" t="s">
        <v>1</v>
      </c>
      <c r="H7" s="21" t="s">
        <v>1191</v>
      </c>
      <c r="J7" s="21" t="s">
        <v>1</v>
      </c>
      <c r="L7" s="21">
        <v>538.79999999999995</v>
      </c>
      <c r="AB7" s="21" t="s">
        <v>1193</v>
      </c>
      <c r="AG7" s="21" t="s">
        <v>22</v>
      </c>
      <c r="AH7" s="21" t="s">
        <v>1371</v>
      </c>
    </row>
    <row r="8" spans="1:36" x14ac:dyDescent="0.35">
      <c r="A8" s="21">
        <v>7</v>
      </c>
      <c r="B8" s="20">
        <f>_xlfn.XLOOKUP(C8, csl_deposits!B:B, csl_deposits!A:A, "NA", 0,1)</f>
        <v>2</v>
      </c>
      <c r="C8" s="21" t="s">
        <v>516</v>
      </c>
      <c r="E8" s="21" t="s">
        <v>1190</v>
      </c>
      <c r="F8" s="21" t="s">
        <v>1192</v>
      </c>
      <c r="G8" s="21" t="s">
        <v>1</v>
      </c>
      <c r="H8" s="21" t="s">
        <v>1191</v>
      </c>
      <c r="J8" s="21" t="s">
        <v>1</v>
      </c>
      <c r="L8" s="21">
        <v>538.79999999999995</v>
      </c>
      <c r="AB8" s="21" t="s">
        <v>1193</v>
      </c>
      <c r="AG8" s="21" t="s">
        <v>22</v>
      </c>
      <c r="AH8" s="21" t="s">
        <v>1371</v>
      </c>
    </row>
    <row r="9" spans="1:36" x14ac:dyDescent="0.35">
      <c r="A9" s="21">
        <v>8</v>
      </c>
      <c r="B9" s="20">
        <f>_xlfn.XLOOKUP(C9, csl_deposits!B:B, csl_deposits!A:A, "NA", 0,1)</f>
        <v>2</v>
      </c>
      <c r="C9" s="21" t="s">
        <v>516</v>
      </c>
      <c r="D9" s="21" t="s">
        <v>23</v>
      </c>
      <c r="E9" s="21" t="s">
        <v>1184</v>
      </c>
      <c r="F9" s="21" t="s">
        <v>1195</v>
      </c>
      <c r="G9" s="21" t="s">
        <v>0</v>
      </c>
      <c r="H9" s="21" t="s">
        <v>1185</v>
      </c>
      <c r="I9" s="21" t="s">
        <v>24</v>
      </c>
      <c r="J9" s="21" t="s">
        <v>0</v>
      </c>
      <c r="K9" s="21" t="s">
        <v>7</v>
      </c>
      <c r="L9" s="21">
        <v>629</v>
      </c>
      <c r="M9" s="21">
        <v>8</v>
      </c>
      <c r="P9" s="21" t="s">
        <v>14</v>
      </c>
      <c r="Q9" s="21" t="s">
        <v>25</v>
      </c>
      <c r="S9" s="21">
        <v>629</v>
      </c>
      <c r="T9" s="21">
        <v>8</v>
      </c>
      <c r="X9" s="21" t="s">
        <v>1194</v>
      </c>
      <c r="AB9" s="21" t="s">
        <v>26</v>
      </c>
      <c r="AG9" s="21" t="s">
        <v>27</v>
      </c>
    </row>
    <row r="10" spans="1:36" x14ac:dyDescent="0.35">
      <c r="A10" s="21">
        <v>9</v>
      </c>
      <c r="B10" s="20">
        <f>_xlfn.XLOOKUP(C10, csl_deposits!B:B, csl_deposits!A:A, "NA", 0,1)</f>
        <v>2</v>
      </c>
      <c r="C10" s="21" t="s">
        <v>516</v>
      </c>
      <c r="D10" s="21" t="s">
        <v>1490</v>
      </c>
      <c r="E10" s="21" t="s">
        <v>1188</v>
      </c>
      <c r="F10" s="21" t="s">
        <v>1492</v>
      </c>
      <c r="G10" s="21" t="s">
        <v>0</v>
      </c>
      <c r="H10" s="21" t="s">
        <v>1185</v>
      </c>
      <c r="I10" s="21" t="s">
        <v>24</v>
      </c>
      <c r="J10" s="21" t="s">
        <v>0</v>
      </c>
      <c r="K10" s="21" t="s">
        <v>7</v>
      </c>
      <c r="L10" s="21">
        <v>581</v>
      </c>
      <c r="M10" s="21">
        <v>6</v>
      </c>
      <c r="P10" s="21" t="s">
        <v>14</v>
      </c>
      <c r="Q10" s="21" t="s">
        <v>25</v>
      </c>
      <c r="S10" s="21">
        <v>581</v>
      </c>
      <c r="T10" s="21">
        <v>6</v>
      </c>
      <c r="X10" s="21" t="s">
        <v>1493</v>
      </c>
      <c r="AB10" s="21" t="s">
        <v>1089</v>
      </c>
      <c r="AC10" s="21" t="s">
        <v>1494</v>
      </c>
      <c r="AG10" s="21" t="s">
        <v>1489</v>
      </c>
    </row>
    <row r="11" spans="1:36" x14ac:dyDescent="0.35">
      <c r="A11" s="21">
        <v>10</v>
      </c>
      <c r="B11" s="20">
        <f>_xlfn.XLOOKUP(C11, csl_deposits!B:B, csl_deposits!A:A, "NA", 0,1)</f>
        <v>2</v>
      </c>
      <c r="C11" s="21" t="s">
        <v>516</v>
      </c>
      <c r="D11" s="21" t="s">
        <v>1491</v>
      </c>
      <c r="E11" s="21" t="s">
        <v>1188</v>
      </c>
      <c r="F11" s="21" t="s">
        <v>1492</v>
      </c>
      <c r="G11" s="21" t="s">
        <v>0</v>
      </c>
      <c r="H11" s="21" t="s">
        <v>1185</v>
      </c>
      <c r="I11" s="21" t="s">
        <v>24</v>
      </c>
      <c r="J11" s="21" t="s">
        <v>0</v>
      </c>
      <c r="K11" s="21" t="s">
        <v>7</v>
      </c>
      <c r="L11" s="21">
        <v>556</v>
      </c>
      <c r="M11" s="21">
        <v>8</v>
      </c>
      <c r="P11" s="21" t="s">
        <v>14</v>
      </c>
      <c r="Q11" s="21" t="s">
        <v>25</v>
      </c>
      <c r="S11" s="21">
        <v>556</v>
      </c>
      <c r="T11" s="21">
        <v>8</v>
      </c>
      <c r="X11" s="21" t="s">
        <v>1493</v>
      </c>
      <c r="AB11" s="21" t="s">
        <v>1089</v>
      </c>
      <c r="AC11" s="21" t="s">
        <v>1494</v>
      </c>
      <c r="AG11" s="21" t="s">
        <v>1489</v>
      </c>
    </row>
    <row r="12" spans="1:36" x14ac:dyDescent="0.35">
      <c r="A12" s="21">
        <v>11</v>
      </c>
      <c r="B12" s="20">
        <f>_xlfn.XLOOKUP(C12, csl_deposits!B:B, csl_deposits!A:A, "NA", 0,1)</f>
        <v>4</v>
      </c>
      <c r="C12" s="21" t="s">
        <v>532</v>
      </c>
      <c r="E12" s="21" t="s">
        <v>1190</v>
      </c>
      <c r="F12" s="21" t="s">
        <v>1196</v>
      </c>
      <c r="G12" s="21" t="s">
        <v>1</v>
      </c>
      <c r="H12" s="21" t="s">
        <v>1191</v>
      </c>
      <c r="J12" s="21" t="s">
        <v>1</v>
      </c>
      <c r="L12" s="21">
        <v>538.79999999999995</v>
      </c>
      <c r="AG12" s="21" t="s">
        <v>1197</v>
      </c>
    </row>
    <row r="13" spans="1:36" x14ac:dyDescent="0.35">
      <c r="A13" s="21">
        <v>12</v>
      </c>
      <c r="B13" s="20">
        <f>_xlfn.XLOOKUP(C13, csl_deposits!B:B, csl_deposits!A:A, "NA", 0,1)</f>
        <v>4</v>
      </c>
      <c r="C13" s="21" t="s">
        <v>532</v>
      </c>
      <c r="E13" s="21" t="s">
        <v>1184</v>
      </c>
      <c r="F13" s="21" t="s">
        <v>1200</v>
      </c>
      <c r="G13" s="21" t="s">
        <v>0</v>
      </c>
      <c r="H13" s="21" t="s">
        <v>1022</v>
      </c>
      <c r="I13" s="21" t="s">
        <v>28</v>
      </c>
      <c r="J13" s="21" t="s">
        <v>0</v>
      </c>
      <c r="K13" s="21" t="s">
        <v>1198</v>
      </c>
      <c r="L13" s="21">
        <v>566.9</v>
      </c>
      <c r="M13" s="21">
        <v>3.5</v>
      </c>
      <c r="N13" s="21" t="s">
        <v>1007</v>
      </c>
      <c r="O13" s="21" t="s">
        <v>1199</v>
      </c>
      <c r="R13" s="22"/>
      <c r="AB13" s="21" t="s">
        <v>1006</v>
      </c>
      <c r="AG13" s="21" t="s">
        <v>1197</v>
      </c>
      <c r="AH13" s="21" t="s">
        <v>463</v>
      </c>
      <c r="AI13" s="21" t="s">
        <v>29</v>
      </c>
      <c r="AJ13" s="21" t="s">
        <v>455</v>
      </c>
    </row>
    <row r="14" spans="1:36" x14ac:dyDescent="0.35">
      <c r="A14" s="21">
        <v>13</v>
      </c>
      <c r="B14" s="20">
        <f>_xlfn.XLOOKUP(C14, csl_deposits!B:B, csl_deposits!A:A, "NA", 0,1)</f>
        <v>5</v>
      </c>
      <c r="C14" s="21" t="s">
        <v>539</v>
      </c>
      <c r="D14" s="21" t="s">
        <v>30</v>
      </c>
      <c r="E14" s="21" t="s">
        <v>1190</v>
      </c>
      <c r="F14" s="22" t="s">
        <v>1201</v>
      </c>
      <c r="G14" s="21" t="s">
        <v>1</v>
      </c>
      <c r="H14" s="21" t="s">
        <v>1185</v>
      </c>
      <c r="I14" s="21" t="s">
        <v>31</v>
      </c>
      <c r="J14" s="21" t="s">
        <v>13</v>
      </c>
      <c r="K14" s="21" t="s">
        <v>7</v>
      </c>
      <c r="L14" s="23">
        <v>569.36</v>
      </c>
      <c r="M14" s="23">
        <v>0.28999999999999998</v>
      </c>
      <c r="P14" s="21" t="s">
        <v>32</v>
      </c>
      <c r="Q14" s="21" t="s">
        <v>9</v>
      </c>
      <c r="R14" s="22"/>
      <c r="S14" s="23">
        <v>569.36</v>
      </c>
      <c r="T14" s="23">
        <v>0.28999999999999998</v>
      </c>
      <c r="W14" s="21">
        <v>0.05</v>
      </c>
      <c r="X14" s="21" t="s">
        <v>1025</v>
      </c>
      <c r="Y14" s="22"/>
      <c r="Z14" s="21" t="s">
        <v>33</v>
      </c>
      <c r="AB14" s="22" t="s">
        <v>34</v>
      </c>
      <c r="AF14" s="21" t="s">
        <v>1202</v>
      </c>
      <c r="AG14" s="21" t="s">
        <v>35</v>
      </c>
      <c r="AH14" s="21" t="s">
        <v>36</v>
      </c>
      <c r="AI14" s="21" t="s">
        <v>37</v>
      </c>
    </row>
    <row r="15" spans="1:36" x14ac:dyDescent="0.35">
      <c r="A15" s="21">
        <v>14</v>
      </c>
      <c r="B15" s="20">
        <f>_xlfn.XLOOKUP(C15, csl_deposits!B:B, csl_deposits!A:A, "NA", 0,1)</f>
        <v>5</v>
      </c>
      <c r="C15" s="21" t="s">
        <v>539</v>
      </c>
      <c r="D15" s="21" t="s">
        <v>38</v>
      </c>
      <c r="E15" s="21" t="s">
        <v>1190</v>
      </c>
      <c r="F15" s="22" t="s">
        <v>1201</v>
      </c>
      <c r="G15" s="21" t="s">
        <v>1</v>
      </c>
      <c r="H15" s="21" t="s">
        <v>1185</v>
      </c>
      <c r="I15" s="21" t="s">
        <v>31</v>
      </c>
      <c r="J15" s="21" t="s">
        <v>13</v>
      </c>
      <c r="K15" s="21" t="s">
        <v>7</v>
      </c>
      <c r="L15" s="23">
        <v>569.4</v>
      </c>
      <c r="M15" s="23">
        <v>0.12</v>
      </c>
      <c r="P15" s="21" t="s">
        <v>32</v>
      </c>
      <c r="Q15" s="21" t="s">
        <v>9</v>
      </c>
      <c r="R15" s="22"/>
      <c r="S15" s="23">
        <v>569.4</v>
      </c>
      <c r="T15" s="23">
        <v>0.12</v>
      </c>
      <c r="W15" s="21">
        <v>1.35</v>
      </c>
      <c r="X15" s="21" t="s">
        <v>1025</v>
      </c>
      <c r="Y15" s="22"/>
      <c r="Z15" s="21" t="s">
        <v>33</v>
      </c>
      <c r="AB15" s="22" t="s">
        <v>34</v>
      </c>
      <c r="AF15" s="21" t="s">
        <v>1202</v>
      </c>
      <c r="AG15" s="21" t="s">
        <v>35</v>
      </c>
      <c r="AH15" s="21" t="s">
        <v>36</v>
      </c>
      <c r="AI15" s="21" t="s">
        <v>37</v>
      </c>
    </row>
    <row r="16" spans="1:36" x14ac:dyDescent="0.35">
      <c r="A16" s="21">
        <v>15</v>
      </c>
      <c r="B16" s="20">
        <f>_xlfn.XLOOKUP(C16, csl_deposits!B:B, csl_deposits!A:A, "NA", 0,1)</f>
        <v>8</v>
      </c>
      <c r="C16" s="21" t="s">
        <v>553</v>
      </c>
      <c r="E16" s="21" t="s">
        <v>1190</v>
      </c>
      <c r="F16" s="22" t="s">
        <v>1203</v>
      </c>
      <c r="G16" s="21" t="s">
        <v>1</v>
      </c>
      <c r="H16" s="21" t="s">
        <v>1191</v>
      </c>
      <c r="J16" s="21" t="s">
        <v>1</v>
      </c>
      <c r="L16" s="23">
        <v>538.79999999999995</v>
      </c>
      <c r="AG16" s="21" t="s">
        <v>1204</v>
      </c>
      <c r="AH16" s="21" t="s">
        <v>1205</v>
      </c>
    </row>
    <row r="17" spans="1:36" x14ac:dyDescent="0.35">
      <c r="A17" s="21">
        <v>16</v>
      </c>
      <c r="B17" s="20">
        <f>_xlfn.XLOOKUP(C17, csl_deposits!B:B, csl_deposits!A:A, "NA", 0,1)</f>
        <v>9</v>
      </c>
      <c r="C17" s="21" t="s">
        <v>559</v>
      </c>
      <c r="E17" s="21" t="s">
        <v>1190</v>
      </c>
      <c r="F17" s="21" t="s">
        <v>1207</v>
      </c>
      <c r="G17" s="21" t="s">
        <v>1</v>
      </c>
      <c r="H17" s="21" t="s">
        <v>1022</v>
      </c>
      <c r="J17" s="21" t="s">
        <v>1</v>
      </c>
      <c r="K17" s="21" t="s">
        <v>1198</v>
      </c>
      <c r="L17" s="21">
        <v>574</v>
      </c>
      <c r="M17" s="21">
        <v>4.7</v>
      </c>
      <c r="N17" s="21" t="s">
        <v>1007</v>
      </c>
      <c r="O17" s="21" t="s">
        <v>1206</v>
      </c>
      <c r="AB17" s="21" t="s">
        <v>1006</v>
      </c>
      <c r="AG17" s="21" t="s">
        <v>1098</v>
      </c>
      <c r="AH17" s="21" t="s">
        <v>463</v>
      </c>
      <c r="AI17" s="21" t="s">
        <v>29</v>
      </c>
    </row>
    <row r="18" spans="1:36" x14ac:dyDescent="0.35">
      <c r="A18" s="21">
        <v>17</v>
      </c>
      <c r="B18" s="20">
        <f>_xlfn.XLOOKUP(C18, csl_deposits!B:B, csl_deposits!A:A, "NA", 0,1)</f>
        <v>9</v>
      </c>
      <c r="C18" s="21" t="s">
        <v>559</v>
      </c>
      <c r="E18" s="21" t="s">
        <v>1184</v>
      </c>
      <c r="F18" s="21" t="s">
        <v>1209</v>
      </c>
      <c r="G18" s="21" t="s">
        <v>0</v>
      </c>
      <c r="H18" s="21" t="s">
        <v>1208</v>
      </c>
      <c r="J18" s="21" t="s">
        <v>0</v>
      </c>
      <c r="L18" s="21">
        <v>635</v>
      </c>
      <c r="M18" s="21">
        <v>0</v>
      </c>
      <c r="AG18" s="21" t="s">
        <v>1098</v>
      </c>
      <c r="AH18" s="21" t="s">
        <v>463</v>
      </c>
      <c r="AI18" s="21" t="s">
        <v>29</v>
      </c>
    </row>
    <row r="19" spans="1:36" x14ac:dyDescent="0.35">
      <c r="A19" s="21">
        <v>18</v>
      </c>
      <c r="B19" s="20">
        <f>_xlfn.XLOOKUP(C19, csl_deposits!B:B, csl_deposits!A:A, "NA", 0,1)</f>
        <v>10</v>
      </c>
      <c r="C19" s="21" t="s">
        <v>565</v>
      </c>
      <c r="E19" s="21" t="s">
        <v>1190</v>
      </c>
      <c r="F19" s="21" t="s">
        <v>1211</v>
      </c>
      <c r="G19" s="21" t="s">
        <v>1</v>
      </c>
      <c r="H19" s="21" t="s">
        <v>1185</v>
      </c>
      <c r="I19" s="21" t="s">
        <v>39</v>
      </c>
      <c r="J19" s="21" t="s">
        <v>1</v>
      </c>
      <c r="K19" s="21" t="s">
        <v>40</v>
      </c>
      <c r="L19" s="21">
        <v>575</v>
      </c>
      <c r="M19" s="21">
        <v>2</v>
      </c>
      <c r="Q19" s="21" t="s">
        <v>41</v>
      </c>
      <c r="S19" s="21">
        <v>575</v>
      </c>
      <c r="T19" s="21">
        <v>2</v>
      </c>
      <c r="X19" s="21" t="s">
        <v>1210</v>
      </c>
      <c r="Z19" s="21" t="s">
        <v>42</v>
      </c>
      <c r="AD19" s="21" t="s">
        <v>43</v>
      </c>
      <c r="AG19" s="21" t="s">
        <v>44</v>
      </c>
      <c r="AH19" s="21" t="s">
        <v>45</v>
      </c>
    </row>
    <row r="20" spans="1:36" x14ac:dyDescent="0.35">
      <c r="A20" s="21">
        <v>19</v>
      </c>
      <c r="B20" s="20">
        <f>_xlfn.XLOOKUP(C20, csl_deposits!B:B, csl_deposits!A:A, "NA", 0,1)</f>
        <v>10</v>
      </c>
      <c r="C20" s="21" t="s">
        <v>565</v>
      </c>
      <c r="E20" s="21" t="s">
        <v>1184</v>
      </c>
      <c r="F20" s="21" t="s">
        <v>1213</v>
      </c>
      <c r="G20" s="21" t="s">
        <v>0</v>
      </c>
      <c r="H20" s="21" t="s">
        <v>1185</v>
      </c>
      <c r="I20" s="21" t="s">
        <v>39</v>
      </c>
      <c r="J20" s="21" t="s">
        <v>0</v>
      </c>
      <c r="K20" s="21" t="s">
        <v>40</v>
      </c>
      <c r="L20" s="21">
        <v>610</v>
      </c>
      <c r="M20" s="21">
        <v>16</v>
      </c>
      <c r="Q20" s="21" t="s">
        <v>41</v>
      </c>
      <c r="S20" s="21">
        <v>610</v>
      </c>
      <c r="T20" s="21">
        <v>16</v>
      </c>
      <c r="X20" s="21" t="s">
        <v>1212</v>
      </c>
      <c r="Z20" s="21" t="s">
        <v>42</v>
      </c>
      <c r="AD20" s="21" t="s">
        <v>43</v>
      </c>
      <c r="AG20" s="21" t="s">
        <v>44</v>
      </c>
      <c r="AH20" s="21" t="s">
        <v>45</v>
      </c>
    </row>
    <row r="21" spans="1:36" x14ac:dyDescent="0.35">
      <c r="A21" s="21">
        <v>20</v>
      </c>
      <c r="B21" s="20">
        <f>_xlfn.XLOOKUP(C21, csl_deposits!B:B, csl_deposits!A:A, "NA", 0,1)</f>
        <v>10</v>
      </c>
      <c r="C21" s="21" t="s">
        <v>565</v>
      </c>
      <c r="E21" s="21" t="s">
        <v>1188</v>
      </c>
      <c r="F21" s="21" t="s">
        <v>1215</v>
      </c>
      <c r="G21" s="21" t="s">
        <v>0</v>
      </c>
      <c r="H21" s="21" t="s">
        <v>1185</v>
      </c>
      <c r="I21" s="21" t="s">
        <v>46</v>
      </c>
      <c r="J21" s="21" t="s">
        <v>0</v>
      </c>
      <c r="K21" s="21" t="s">
        <v>7</v>
      </c>
      <c r="L21" s="21">
        <v>598</v>
      </c>
      <c r="M21" s="21">
        <v>60</v>
      </c>
      <c r="Q21" s="21" t="s">
        <v>25</v>
      </c>
      <c r="S21" s="21">
        <v>598</v>
      </c>
      <c r="T21" s="21">
        <v>60</v>
      </c>
      <c r="X21" s="21" t="s">
        <v>1214</v>
      </c>
      <c r="Z21" s="21" t="s">
        <v>47</v>
      </c>
      <c r="AB21" s="21" t="s">
        <v>48</v>
      </c>
      <c r="AC21" s="21" t="s">
        <v>49</v>
      </c>
      <c r="AG21" s="21" t="s">
        <v>44</v>
      </c>
      <c r="AH21" s="21" t="s">
        <v>50</v>
      </c>
      <c r="AI21" s="21" t="s">
        <v>45</v>
      </c>
    </row>
    <row r="22" spans="1:36" x14ac:dyDescent="0.35">
      <c r="A22" s="21">
        <v>21</v>
      </c>
      <c r="B22" s="20">
        <f>_xlfn.XLOOKUP(C22, csl_deposits!B:B, csl_deposits!A:A, "NA", 0,1)</f>
        <v>12</v>
      </c>
      <c r="C22" s="21" t="s">
        <v>51</v>
      </c>
      <c r="D22" s="21" t="s">
        <v>57</v>
      </c>
      <c r="E22" s="21" t="s">
        <v>1184</v>
      </c>
      <c r="G22" s="21" t="s">
        <v>0</v>
      </c>
      <c r="H22" s="21" t="s">
        <v>1185</v>
      </c>
      <c r="I22" s="21" t="s">
        <v>58</v>
      </c>
      <c r="J22" s="21" t="s">
        <v>0</v>
      </c>
      <c r="K22" s="21" t="s">
        <v>7</v>
      </c>
      <c r="L22" s="24">
        <v>565</v>
      </c>
      <c r="M22" s="24">
        <v>5</v>
      </c>
      <c r="P22" s="21" t="s">
        <v>14</v>
      </c>
      <c r="Q22" s="21" t="s">
        <v>25</v>
      </c>
      <c r="R22" s="22"/>
      <c r="S22" s="24">
        <v>565</v>
      </c>
      <c r="T22" s="25"/>
      <c r="U22" s="25"/>
      <c r="V22" s="24">
        <v>5</v>
      </c>
      <c r="X22" s="21" t="s">
        <v>1053</v>
      </c>
      <c r="Z22" s="21" t="s">
        <v>53</v>
      </c>
      <c r="AC22" s="21" t="s">
        <v>59</v>
      </c>
      <c r="AG22" s="21" t="s">
        <v>56</v>
      </c>
    </row>
    <row r="23" spans="1:36" x14ac:dyDescent="0.35">
      <c r="A23" s="21">
        <v>22</v>
      </c>
      <c r="B23" s="20">
        <f>_xlfn.XLOOKUP(C23, csl_deposits!B:B, csl_deposits!A:A, "NA", 0,1)</f>
        <v>12</v>
      </c>
      <c r="C23" s="21" t="s">
        <v>51</v>
      </c>
      <c r="D23" s="21" t="s">
        <v>60</v>
      </c>
      <c r="E23" s="21" t="s">
        <v>1184</v>
      </c>
      <c r="G23" s="21" t="s">
        <v>0</v>
      </c>
      <c r="H23" s="21" t="s">
        <v>1185</v>
      </c>
      <c r="I23" s="21" t="s">
        <v>61</v>
      </c>
      <c r="J23" s="21" t="s">
        <v>0</v>
      </c>
      <c r="K23" s="21" t="s">
        <v>7</v>
      </c>
      <c r="L23" s="24">
        <v>570</v>
      </c>
      <c r="M23" s="24">
        <v>8</v>
      </c>
      <c r="P23" s="21" t="s">
        <v>14</v>
      </c>
      <c r="Q23" s="21" t="s">
        <v>25</v>
      </c>
      <c r="R23" s="22"/>
      <c r="S23" s="24">
        <v>570</v>
      </c>
      <c r="T23" s="25"/>
      <c r="U23" s="25"/>
      <c r="V23" s="24">
        <v>8</v>
      </c>
      <c r="X23" s="21" t="s">
        <v>1054</v>
      </c>
      <c r="Z23" s="21" t="s">
        <v>53</v>
      </c>
      <c r="AC23" s="21" t="s">
        <v>62</v>
      </c>
      <c r="AE23" s="21" t="s">
        <v>51</v>
      </c>
      <c r="AG23" s="21" t="s">
        <v>56</v>
      </c>
    </row>
    <row r="24" spans="1:36" x14ac:dyDescent="0.35">
      <c r="A24" s="21">
        <v>23</v>
      </c>
      <c r="B24" s="20">
        <f>_xlfn.XLOOKUP(C24, csl_deposits!B:B, csl_deposits!A:A, "NA", 0,1)</f>
        <v>12</v>
      </c>
      <c r="C24" s="21" t="s">
        <v>51</v>
      </c>
      <c r="D24" s="21" t="s">
        <v>63</v>
      </c>
      <c r="E24" s="21" t="s">
        <v>1184</v>
      </c>
      <c r="G24" s="21" t="s">
        <v>0</v>
      </c>
      <c r="H24" s="21" t="s">
        <v>1185</v>
      </c>
      <c r="I24" s="21" t="s">
        <v>64</v>
      </c>
      <c r="J24" s="21" t="s">
        <v>0</v>
      </c>
      <c r="K24" s="21" t="s">
        <v>7</v>
      </c>
      <c r="L24" s="24">
        <v>574</v>
      </c>
      <c r="M24" s="24">
        <v>6</v>
      </c>
      <c r="P24" s="21" t="s">
        <v>14</v>
      </c>
      <c r="Q24" s="21" t="s">
        <v>25</v>
      </c>
      <c r="R24" s="22"/>
      <c r="S24" s="24">
        <v>574</v>
      </c>
      <c r="T24" s="25"/>
      <c r="U24" s="25"/>
      <c r="V24" s="24">
        <v>6</v>
      </c>
      <c r="W24" s="21">
        <v>6.5000000000000002E-2</v>
      </c>
      <c r="X24" s="21" t="s">
        <v>1055</v>
      </c>
      <c r="Z24" s="21" t="s">
        <v>53</v>
      </c>
      <c r="AC24" s="21" t="s">
        <v>62</v>
      </c>
      <c r="AE24" s="21" t="s">
        <v>51</v>
      </c>
      <c r="AG24" s="21" t="s">
        <v>56</v>
      </c>
    </row>
    <row r="25" spans="1:36" x14ac:dyDescent="0.35">
      <c r="A25" s="21">
        <v>24</v>
      </c>
      <c r="B25" s="20">
        <f>_xlfn.XLOOKUP(C25, csl_deposits!B:B, csl_deposits!A:A, "NA", 0,1)</f>
        <v>12</v>
      </c>
      <c r="C25" s="21" t="s">
        <v>51</v>
      </c>
      <c r="D25" s="21" t="s">
        <v>65</v>
      </c>
      <c r="E25" s="21" t="s">
        <v>1184</v>
      </c>
      <c r="G25" s="21" t="s">
        <v>0</v>
      </c>
      <c r="H25" s="21" t="s">
        <v>1185</v>
      </c>
      <c r="I25" s="21" t="s">
        <v>24</v>
      </c>
      <c r="J25" s="21" t="s">
        <v>0</v>
      </c>
      <c r="K25" s="21" t="s">
        <v>7</v>
      </c>
      <c r="L25" s="21">
        <v>503</v>
      </c>
      <c r="M25" s="21">
        <v>19</v>
      </c>
      <c r="P25" s="21" t="s">
        <v>66</v>
      </c>
      <c r="Q25" s="21" t="s">
        <v>67</v>
      </c>
      <c r="S25" s="21">
        <v>503</v>
      </c>
      <c r="T25" s="21">
        <v>19</v>
      </c>
      <c r="W25" s="21">
        <v>1.5</v>
      </c>
      <c r="X25" s="21" t="s">
        <v>1218</v>
      </c>
      <c r="Y25" s="22"/>
      <c r="Z25" s="21" t="s">
        <v>53</v>
      </c>
      <c r="AC25" s="21" t="s">
        <v>62</v>
      </c>
      <c r="AG25" s="21" t="s">
        <v>68</v>
      </c>
    </row>
    <row r="26" spans="1:36" x14ac:dyDescent="0.35">
      <c r="A26" s="21">
        <v>25</v>
      </c>
      <c r="B26" s="20">
        <f>_xlfn.XLOOKUP(C26, csl_deposits!B:B, csl_deposits!A:A, "NA", 0,1)</f>
        <v>12</v>
      </c>
      <c r="C26" s="21" t="s">
        <v>51</v>
      </c>
      <c r="D26" s="21" t="s">
        <v>52</v>
      </c>
      <c r="F26" s="21" t="s">
        <v>1217</v>
      </c>
      <c r="H26" s="21" t="s">
        <v>1185</v>
      </c>
      <c r="I26" s="21" t="s">
        <v>54</v>
      </c>
      <c r="J26" s="21" t="s">
        <v>6</v>
      </c>
      <c r="K26" s="21" t="s">
        <v>7</v>
      </c>
      <c r="L26" s="24">
        <v>537</v>
      </c>
      <c r="M26" s="24">
        <v>5</v>
      </c>
      <c r="P26" s="21" t="s">
        <v>14</v>
      </c>
      <c r="Q26" s="21" t="s">
        <v>9</v>
      </c>
      <c r="R26" s="22"/>
      <c r="S26" s="24">
        <v>537</v>
      </c>
      <c r="T26" s="25"/>
      <c r="U26" s="25"/>
      <c r="V26" s="24">
        <v>5</v>
      </c>
      <c r="W26" s="21">
        <v>0.32</v>
      </c>
      <c r="X26" s="21" t="s">
        <v>1216</v>
      </c>
      <c r="AB26" s="21" t="s">
        <v>55</v>
      </c>
      <c r="AG26" s="21" t="s">
        <v>56</v>
      </c>
    </row>
    <row r="27" spans="1:36" x14ac:dyDescent="0.35">
      <c r="A27" s="21">
        <v>26</v>
      </c>
      <c r="B27" s="20">
        <f>_xlfn.XLOOKUP(C27, csl_deposits!B:B, csl_deposits!A:A, "NA", 0,1)</f>
        <v>13</v>
      </c>
      <c r="C27" s="21" t="s">
        <v>69</v>
      </c>
      <c r="E27" s="21" t="s">
        <v>1190</v>
      </c>
      <c r="F27" s="21" t="s">
        <v>1009</v>
      </c>
      <c r="G27" s="21" t="s">
        <v>0</v>
      </c>
      <c r="H27" s="21" t="s">
        <v>1185</v>
      </c>
      <c r="I27" s="21" t="s">
        <v>70</v>
      </c>
      <c r="J27" s="21" t="s">
        <v>6</v>
      </c>
      <c r="K27" s="21" t="s">
        <v>7</v>
      </c>
      <c r="L27" s="24">
        <v>574.70000000000005</v>
      </c>
      <c r="M27" s="24">
        <v>3</v>
      </c>
      <c r="P27" s="21" t="s">
        <v>71</v>
      </c>
      <c r="Q27" s="21" t="s">
        <v>9</v>
      </c>
      <c r="R27" s="22"/>
      <c r="S27" s="24">
        <v>574.70000000000005</v>
      </c>
      <c r="T27" s="24">
        <v>3</v>
      </c>
      <c r="W27" s="21">
        <v>0.73</v>
      </c>
      <c r="X27" s="21" t="s">
        <v>1011</v>
      </c>
      <c r="Z27" s="21" t="s">
        <v>72</v>
      </c>
      <c r="AB27" s="21" t="s">
        <v>73</v>
      </c>
      <c r="AC27" s="21" t="s">
        <v>73</v>
      </c>
      <c r="AF27" s="21" t="s">
        <v>1010</v>
      </c>
      <c r="AG27" s="21" t="s">
        <v>74</v>
      </c>
      <c r="AH27" s="21" t="s">
        <v>75</v>
      </c>
      <c r="AI27" s="21" t="s">
        <v>76</v>
      </c>
      <c r="AJ27" s="21" t="s">
        <v>77</v>
      </c>
    </row>
    <row r="28" spans="1:36" x14ac:dyDescent="0.35">
      <c r="A28" s="21">
        <v>27</v>
      </c>
      <c r="B28" s="20">
        <f>_xlfn.XLOOKUP(C28, csl_deposits!B:B, csl_deposits!A:A, "NA", 0,1)</f>
        <v>13</v>
      </c>
      <c r="C28" s="21" t="s">
        <v>69</v>
      </c>
      <c r="D28" s="21" t="s">
        <v>78</v>
      </c>
      <c r="E28" s="21" t="s">
        <v>1188</v>
      </c>
      <c r="F28" s="21" t="s">
        <v>1079</v>
      </c>
      <c r="G28" s="21" t="s">
        <v>0</v>
      </c>
      <c r="H28" s="21" t="s">
        <v>1185</v>
      </c>
      <c r="I28" s="21" t="s">
        <v>79</v>
      </c>
      <c r="J28" s="21" t="s">
        <v>0</v>
      </c>
      <c r="K28" s="21" t="s">
        <v>7</v>
      </c>
      <c r="L28" s="21">
        <v>654.4</v>
      </c>
      <c r="M28" s="21">
        <v>4.3</v>
      </c>
      <c r="P28" s="21" t="s">
        <v>71</v>
      </c>
      <c r="Q28" s="21" t="s">
        <v>25</v>
      </c>
      <c r="S28" s="21">
        <v>654.4</v>
      </c>
      <c r="T28" s="21">
        <v>4.3</v>
      </c>
      <c r="W28" s="21">
        <v>1.77</v>
      </c>
      <c r="X28" s="21" t="s">
        <v>1080</v>
      </c>
      <c r="Z28" s="21" t="s">
        <v>72</v>
      </c>
      <c r="AB28" s="21" t="s">
        <v>69</v>
      </c>
      <c r="AG28" s="21" t="s">
        <v>77</v>
      </c>
      <c r="AH28" s="21" t="s">
        <v>75</v>
      </c>
      <c r="AI28" s="21" t="s">
        <v>74</v>
      </c>
      <c r="AJ28" s="21" t="s">
        <v>76</v>
      </c>
    </row>
    <row r="29" spans="1:36" x14ac:dyDescent="0.35">
      <c r="A29" s="21">
        <v>28</v>
      </c>
      <c r="B29" s="20">
        <f>_xlfn.XLOOKUP(C29, csl_deposits!B:B, csl_deposits!A:A, "NA", 0,1)</f>
        <v>13</v>
      </c>
      <c r="C29" s="21" t="s">
        <v>69</v>
      </c>
      <c r="D29" s="21" t="s">
        <v>80</v>
      </c>
      <c r="E29" s="21" t="s">
        <v>1188</v>
      </c>
      <c r="F29" s="21" t="s">
        <v>1081</v>
      </c>
      <c r="G29" s="21" t="s">
        <v>0</v>
      </c>
      <c r="H29" s="21" t="s">
        <v>1185</v>
      </c>
      <c r="I29" s="21" t="s">
        <v>24</v>
      </c>
      <c r="J29" s="21" t="s">
        <v>0</v>
      </c>
      <c r="K29" s="21" t="s">
        <v>7</v>
      </c>
      <c r="L29" s="21">
        <v>644.4</v>
      </c>
      <c r="M29" s="21">
        <v>6.5</v>
      </c>
      <c r="P29" s="21" t="s">
        <v>71</v>
      </c>
      <c r="Q29" s="21" t="s">
        <v>25</v>
      </c>
      <c r="S29" s="21">
        <v>644.4</v>
      </c>
      <c r="T29" s="21">
        <v>6.5</v>
      </c>
      <c r="W29" s="21">
        <v>3.08</v>
      </c>
      <c r="X29" s="21" t="s">
        <v>1082</v>
      </c>
      <c r="Z29" s="21" t="s">
        <v>72</v>
      </c>
      <c r="AB29" s="21" t="s">
        <v>69</v>
      </c>
      <c r="AG29" s="21" t="s">
        <v>77</v>
      </c>
      <c r="AH29" s="21" t="s">
        <v>75</v>
      </c>
      <c r="AI29" s="21" t="s">
        <v>74</v>
      </c>
      <c r="AJ29" s="21" t="s">
        <v>76</v>
      </c>
    </row>
    <row r="30" spans="1:36" x14ac:dyDescent="0.35">
      <c r="A30" s="21">
        <v>29</v>
      </c>
      <c r="B30" s="20">
        <f>_xlfn.XLOOKUP(C30, csl_deposits!B:B, csl_deposits!A:A, "NA", 0,1)</f>
        <v>13</v>
      </c>
      <c r="C30" s="21" t="s">
        <v>69</v>
      </c>
      <c r="D30" s="21" t="s">
        <v>81</v>
      </c>
      <c r="E30" s="21" t="s">
        <v>1188</v>
      </c>
      <c r="F30" s="21" t="s">
        <v>1083</v>
      </c>
      <c r="G30" s="21" t="s">
        <v>0</v>
      </c>
      <c r="H30" s="21" t="s">
        <v>1185</v>
      </c>
      <c r="I30" s="21" t="s">
        <v>24</v>
      </c>
      <c r="J30" s="21" t="s">
        <v>0</v>
      </c>
      <c r="K30" s="21" t="s">
        <v>7</v>
      </c>
      <c r="L30" s="21">
        <v>647.4</v>
      </c>
      <c r="M30" s="21">
        <v>6.2</v>
      </c>
      <c r="P30" s="21" t="s">
        <v>71</v>
      </c>
      <c r="Q30" s="21" t="s">
        <v>25</v>
      </c>
      <c r="S30" s="21">
        <v>647.4</v>
      </c>
      <c r="T30" s="21">
        <v>6.2</v>
      </c>
      <c r="W30" s="21">
        <v>2.81</v>
      </c>
      <c r="X30" s="21" t="s">
        <v>1084</v>
      </c>
      <c r="Z30" s="21" t="s">
        <v>72</v>
      </c>
      <c r="AB30" s="21" t="s">
        <v>69</v>
      </c>
      <c r="AG30" s="21" t="s">
        <v>77</v>
      </c>
      <c r="AH30" s="21" t="s">
        <v>75</v>
      </c>
      <c r="AI30" s="21" t="s">
        <v>74</v>
      </c>
      <c r="AJ30" s="21" t="s">
        <v>76</v>
      </c>
    </row>
    <row r="31" spans="1:36" x14ac:dyDescent="0.35">
      <c r="A31" s="21">
        <v>30</v>
      </c>
      <c r="B31" s="20">
        <f>_xlfn.XLOOKUP(C31, csl_deposits!B:B, csl_deposits!A:A, "NA", 0,1)</f>
        <v>13</v>
      </c>
      <c r="C31" s="21" t="s">
        <v>69</v>
      </c>
      <c r="D31" s="21" t="s">
        <v>82</v>
      </c>
      <c r="E31" s="21" t="s">
        <v>1188</v>
      </c>
      <c r="F31" s="21" t="s">
        <v>1085</v>
      </c>
      <c r="G31" s="21" t="s">
        <v>0</v>
      </c>
      <c r="H31" s="21" t="s">
        <v>1185</v>
      </c>
      <c r="I31" s="21" t="s">
        <v>24</v>
      </c>
      <c r="J31" s="21" t="s">
        <v>0</v>
      </c>
      <c r="K31" s="21" t="s">
        <v>7</v>
      </c>
      <c r="L31" s="21">
        <v>638</v>
      </c>
      <c r="M31" s="21">
        <v>2.5</v>
      </c>
      <c r="P31" s="21" t="s">
        <v>71</v>
      </c>
      <c r="Q31" s="21" t="s">
        <v>25</v>
      </c>
      <c r="S31" s="21">
        <v>638</v>
      </c>
      <c r="T31" s="21">
        <v>2.5</v>
      </c>
      <c r="W31" s="21">
        <v>1.31</v>
      </c>
      <c r="X31" s="21" t="s">
        <v>1086</v>
      </c>
      <c r="Z31" s="21" t="s">
        <v>72</v>
      </c>
      <c r="AB31" s="21" t="s">
        <v>69</v>
      </c>
      <c r="AG31" s="21" t="s">
        <v>77</v>
      </c>
      <c r="AH31" s="21" t="s">
        <v>75</v>
      </c>
      <c r="AI31" s="21" t="s">
        <v>74</v>
      </c>
      <c r="AJ31" s="21" t="s">
        <v>76</v>
      </c>
    </row>
    <row r="32" spans="1:36" x14ac:dyDescent="0.35">
      <c r="A32" s="21">
        <v>31</v>
      </c>
      <c r="B32" s="20">
        <f>_xlfn.XLOOKUP(C32, csl_deposits!B:B, csl_deposits!A:A, "NA", 0,1)</f>
        <v>13</v>
      </c>
      <c r="C32" s="21" t="s">
        <v>69</v>
      </c>
      <c r="D32" s="21" t="s">
        <v>82</v>
      </c>
      <c r="E32" s="21" t="s">
        <v>1188</v>
      </c>
      <c r="F32" s="21" t="s">
        <v>1085</v>
      </c>
      <c r="G32" s="21" t="s">
        <v>0</v>
      </c>
      <c r="H32" s="21" t="s">
        <v>1185</v>
      </c>
      <c r="I32" s="21" t="s">
        <v>24</v>
      </c>
      <c r="J32" s="21" t="s">
        <v>0</v>
      </c>
      <c r="K32" s="21" t="s">
        <v>7</v>
      </c>
      <c r="L32" s="21">
        <v>636.41</v>
      </c>
      <c r="M32" s="21">
        <v>0.34</v>
      </c>
      <c r="P32" s="21" t="s">
        <v>32</v>
      </c>
      <c r="Q32" s="21" t="s">
        <v>25</v>
      </c>
      <c r="S32" s="21">
        <v>636.41</v>
      </c>
      <c r="T32" s="21">
        <v>0.34</v>
      </c>
      <c r="U32" s="21">
        <v>0.45</v>
      </c>
      <c r="W32" s="21">
        <v>1.5</v>
      </c>
      <c r="X32" s="21" t="s">
        <v>1087</v>
      </c>
      <c r="Z32" s="21" t="s">
        <v>72</v>
      </c>
      <c r="AB32" s="21" t="s">
        <v>69</v>
      </c>
      <c r="AG32" s="21" t="s">
        <v>77</v>
      </c>
    </row>
    <row r="33" spans="1:36" x14ac:dyDescent="0.35">
      <c r="A33" s="21">
        <v>32</v>
      </c>
      <c r="B33" s="20">
        <f>_xlfn.XLOOKUP(C33, csl_deposits!B:B, csl_deposits!A:A, "NA", 0,1)</f>
        <v>14</v>
      </c>
      <c r="C33" s="21" t="s">
        <v>582</v>
      </c>
      <c r="E33" s="21" t="s">
        <v>1184</v>
      </c>
      <c r="F33" s="21" t="s">
        <v>1012</v>
      </c>
      <c r="G33" s="21" t="s">
        <v>0</v>
      </c>
      <c r="H33" s="21" t="s">
        <v>1185</v>
      </c>
      <c r="I33" s="21" t="s">
        <v>84</v>
      </c>
      <c r="J33" s="21" t="s">
        <v>13</v>
      </c>
      <c r="K33" s="21" t="s">
        <v>7</v>
      </c>
      <c r="L33" s="24">
        <v>582.1</v>
      </c>
      <c r="M33" s="24">
        <v>4.0999999999999996</v>
      </c>
      <c r="P33" s="21" t="s">
        <v>71</v>
      </c>
      <c r="Q33" s="21" t="s">
        <v>9</v>
      </c>
      <c r="R33" s="22"/>
      <c r="S33" s="24">
        <v>582.1</v>
      </c>
      <c r="T33" s="24">
        <v>4.0999999999999996</v>
      </c>
      <c r="W33" s="21">
        <v>0.94</v>
      </c>
      <c r="X33" s="21" t="s">
        <v>1013</v>
      </c>
      <c r="Z33" s="21" t="s">
        <v>85</v>
      </c>
      <c r="AA33" s="21" t="s">
        <v>86</v>
      </c>
      <c r="AF33" s="21" t="s">
        <v>1219</v>
      </c>
      <c r="AG33" s="21" t="s">
        <v>74</v>
      </c>
      <c r="AH33" s="21" t="s">
        <v>75</v>
      </c>
      <c r="AI33" s="21" t="s">
        <v>77</v>
      </c>
    </row>
    <row r="34" spans="1:36" x14ac:dyDescent="0.35">
      <c r="A34" s="21">
        <v>33</v>
      </c>
      <c r="B34" s="20">
        <f>_xlfn.XLOOKUP(C34, csl_deposits!B:B, csl_deposits!A:A, "NA", 0,1)</f>
        <v>14</v>
      </c>
      <c r="C34" s="21" t="s">
        <v>582</v>
      </c>
      <c r="D34" s="21" t="s">
        <v>1538</v>
      </c>
      <c r="E34" s="21" t="s">
        <v>1188</v>
      </c>
      <c r="F34" s="21" t="s">
        <v>1545</v>
      </c>
      <c r="G34" s="21" t="s">
        <v>2</v>
      </c>
      <c r="H34" s="21" t="s">
        <v>1185</v>
      </c>
      <c r="I34" s="21" t="s">
        <v>84</v>
      </c>
      <c r="J34" s="21" t="s">
        <v>13</v>
      </c>
      <c r="K34" s="21" t="s">
        <v>7</v>
      </c>
      <c r="L34" s="21">
        <v>578.55999999999995</v>
      </c>
      <c r="M34" s="21">
        <v>0.23</v>
      </c>
      <c r="P34" s="21" t="s">
        <v>8</v>
      </c>
      <c r="Q34" s="21" t="s">
        <v>9</v>
      </c>
      <c r="S34" s="21">
        <v>578.86</v>
      </c>
      <c r="T34" s="21">
        <v>0.23</v>
      </c>
      <c r="W34" s="21">
        <v>1.1000000000000001</v>
      </c>
      <c r="X34" s="21" t="s">
        <v>1541</v>
      </c>
      <c r="Z34" s="21" t="s">
        <v>85</v>
      </c>
      <c r="AA34" s="21" t="s">
        <v>86</v>
      </c>
      <c r="AB34" s="21" t="s">
        <v>1542</v>
      </c>
      <c r="AG34" s="21" t="s">
        <v>1544</v>
      </c>
    </row>
    <row r="35" spans="1:36" x14ac:dyDescent="0.35">
      <c r="A35" s="21">
        <v>34</v>
      </c>
      <c r="B35" s="20">
        <f>_xlfn.XLOOKUP(C35, csl_deposits!B:B, csl_deposits!A:A, "NA", 0,1)</f>
        <v>14</v>
      </c>
      <c r="C35" s="21" t="s">
        <v>582</v>
      </c>
      <c r="D35" s="21" t="s">
        <v>1539</v>
      </c>
      <c r="E35" s="21" t="s">
        <v>1184</v>
      </c>
      <c r="F35" s="21" t="s">
        <v>1546</v>
      </c>
      <c r="G35" s="21" t="s">
        <v>0</v>
      </c>
      <c r="H35" s="21" t="s">
        <v>1185</v>
      </c>
      <c r="I35" s="21" t="s">
        <v>84</v>
      </c>
      <c r="J35" s="21" t="s">
        <v>13</v>
      </c>
      <c r="K35" s="21" t="s">
        <v>7</v>
      </c>
      <c r="L35" s="21">
        <v>579.20000000000005</v>
      </c>
      <c r="M35" s="21">
        <v>0.09</v>
      </c>
      <c r="P35" s="21" t="s">
        <v>8</v>
      </c>
      <c r="Q35" s="21" t="s">
        <v>9</v>
      </c>
      <c r="S35" s="21">
        <v>579.20000000000005</v>
      </c>
      <c r="T35" s="21">
        <v>0.09</v>
      </c>
      <c r="W35" s="21">
        <v>1.2</v>
      </c>
      <c r="X35" s="21" t="s">
        <v>1540</v>
      </c>
      <c r="Z35" s="21" t="s">
        <v>85</v>
      </c>
      <c r="AA35" s="21" t="s">
        <v>86</v>
      </c>
      <c r="AB35" s="21" t="s">
        <v>1543</v>
      </c>
      <c r="AG35" s="21" t="s">
        <v>1544</v>
      </c>
    </row>
    <row r="36" spans="1:36" x14ac:dyDescent="0.35">
      <c r="A36" s="21">
        <v>35</v>
      </c>
      <c r="B36" s="20">
        <f>_xlfn.XLOOKUP(C36, csl_deposits!B:B, csl_deposits!A:A, "NA", 0,1)</f>
        <v>15</v>
      </c>
      <c r="C36" s="21" t="s">
        <v>589</v>
      </c>
      <c r="E36" s="21" t="s">
        <v>1190</v>
      </c>
      <c r="F36" s="21" t="s">
        <v>1220</v>
      </c>
      <c r="G36" s="21" t="s">
        <v>1</v>
      </c>
      <c r="H36" s="21" t="s">
        <v>1022</v>
      </c>
      <c r="J36" s="21" t="s">
        <v>1</v>
      </c>
      <c r="K36" s="21" t="s">
        <v>1198</v>
      </c>
      <c r="L36" s="21">
        <v>574</v>
      </c>
      <c r="M36" s="21">
        <v>4.7</v>
      </c>
      <c r="N36" s="21" t="s">
        <v>1007</v>
      </c>
      <c r="O36" s="21" t="s">
        <v>1206</v>
      </c>
      <c r="AB36" s="21" t="s">
        <v>589</v>
      </c>
      <c r="AG36" s="21" t="s">
        <v>1098</v>
      </c>
      <c r="AH36" s="21" t="s">
        <v>463</v>
      </c>
      <c r="AI36" s="21" t="s">
        <v>29</v>
      </c>
    </row>
    <row r="37" spans="1:36" x14ac:dyDescent="0.35">
      <c r="A37" s="21">
        <v>36</v>
      </c>
      <c r="B37" s="20">
        <f>_xlfn.XLOOKUP(C37, csl_deposits!B:B, csl_deposits!A:A, "NA", 0,1)</f>
        <v>15</v>
      </c>
      <c r="C37" s="21" t="s">
        <v>589</v>
      </c>
      <c r="E37" s="21" t="s">
        <v>1184</v>
      </c>
      <c r="F37" s="21" t="s">
        <v>1221</v>
      </c>
      <c r="G37" s="21" t="s">
        <v>0</v>
      </c>
      <c r="H37" s="21" t="s">
        <v>1208</v>
      </c>
      <c r="J37" s="21" t="s">
        <v>0</v>
      </c>
      <c r="L37" s="21">
        <v>635</v>
      </c>
      <c r="AG37" s="21" t="s">
        <v>1098</v>
      </c>
      <c r="AH37" s="21" t="s">
        <v>463</v>
      </c>
      <c r="AI37" s="21" t="s">
        <v>29</v>
      </c>
    </row>
    <row r="38" spans="1:36" x14ac:dyDescent="0.35">
      <c r="A38" s="21">
        <v>37</v>
      </c>
      <c r="B38" s="20">
        <f>_xlfn.XLOOKUP(C38, csl_deposits!B:B, csl_deposits!A:A, "NA", 0,1)</f>
        <v>16</v>
      </c>
      <c r="C38" s="21" t="s">
        <v>592</v>
      </c>
      <c r="E38" s="21" t="s">
        <v>1190</v>
      </c>
      <c r="F38" s="21" t="s">
        <v>1222</v>
      </c>
      <c r="G38" s="21" t="s">
        <v>1</v>
      </c>
      <c r="H38" s="21" t="s">
        <v>1191</v>
      </c>
      <c r="I38" s="21" t="s">
        <v>79</v>
      </c>
      <c r="J38" s="21" t="s">
        <v>1</v>
      </c>
      <c r="L38" s="21">
        <v>538.79999999999995</v>
      </c>
      <c r="AB38" s="21" t="s">
        <v>89</v>
      </c>
      <c r="AD38" s="21" t="s">
        <v>1223</v>
      </c>
      <c r="AG38" s="21" t="s">
        <v>93</v>
      </c>
    </row>
    <row r="39" spans="1:36" x14ac:dyDescent="0.35">
      <c r="A39" s="21">
        <v>38</v>
      </c>
      <c r="B39" s="20">
        <f>_xlfn.XLOOKUP(C39, csl_deposits!B:B, csl_deposits!A:A, "NA", 0,1)</f>
        <v>16</v>
      </c>
      <c r="C39" s="21" t="s">
        <v>592</v>
      </c>
      <c r="D39" s="21" t="s">
        <v>87</v>
      </c>
      <c r="E39" s="21" t="s">
        <v>1184</v>
      </c>
      <c r="F39" s="22"/>
      <c r="G39" s="21" t="s">
        <v>0</v>
      </c>
      <c r="H39" s="21" t="s">
        <v>1185</v>
      </c>
      <c r="I39" s="21" t="s">
        <v>88</v>
      </c>
      <c r="J39" s="21" t="s">
        <v>13</v>
      </c>
      <c r="K39" s="21" t="s">
        <v>7</v>
      </c>
      <c r="L39" s="24">
        <v>560</v>
      </c>
      <c r="M39" s="24">
        <v>4</v>
      </c>
      <c r="P39" s="21" t="s">
        <v>14</v>
      </c>
      <c r="Q39" s="21" t="s">
        <v>9</v>
      </c>
      <c r="R39" s="22"/>
      <c r="S39" s="24">
        <v>560</v>
      </c>
      <c r="T39" s="24">
        <v>4</v>
      </c>
      <c r="W39" s="21">
        <v>3.5999999999999997E-2</v>
      </c>
      <c r="X39" s="21" t="s">
        <v>1044</v>
      </c>
      <c r="Z39" s="21" t="s">
        <v>15</v>
      </c>
      <c r="AB39" s="21" t="s">
        <v>89</v>
      </c>
      <c r="AC39" s="21" t="s">
        <v>90</v>
      </c>
      <c r="AD39" s="21" t="s">
        <v>91</v>
      </c>
      <c r="AE39" s="21" t="s">
        <v>92</v>
      </c>
      <c r="AF39" s="21" t="s">
        <v>1043</v>
      </c>
      <c r="AG39" s="21" t="s">
        <v>93</v>
      </c>
    </row>
    <row r="40" spans="1:36" x14ac:dyDescent="0.35">
      <c r="A40" s="21">
        <v>39</v>
      </c>
      <c r="B40" s="20">
        <f>_xlfn.XLOOKUP(C40, csl_deposits!B:B, csl_deposits!A:A, "NA", 0,1)</f>
        <v>16</v>
      </c>
      <c r="C40" s="21" t="s">
        <v>592</v>
      </c>
      <c r="D40" s="21" t="s">
        <v>94</v>
      </c>
      <c r="E40" s="21" t="s">
        <v>1184</v>
      </c>
      <c r="F40" s="22"/>
      <c r="G40" s="21" t="s">
        <v>0</v>
      </c>
      <c r="H40" s="21" t="s">
        <v>1185</v>
      </c>
      <c r="I40" s="21" t="s">
        <v>79</v>
      </c>
      <c r="J40" s="21" t="s">
        <v>0</v>
      </c>
      <c r="K40" s="21" t="s">
        <v>7</v>
      </c>
      <c r="L40" s="24">
        <v>570</v>
      </c>
      <c r="M40" s="24">
        <v>4.5999999999999996</v>
      </c>
      <c r="P40" s="21" t="s">
        <v>71</v>
      </c>
      <c r="Q40" s="21" t="s">
        <v>25</v>
      </c>
      <c r="R40" s="22"/>
      <c r="S40" s="24">
        <v>570</v>
      </c>
      <c r="T40" s="24">
        <v>4.5999999999999996</v>
      </c>
      <c r="X40" s="21" t="s">
        <v>1046</v>
      </c>
      <c r="Z40" s="21" t="s">
        <v>15</v>
      </c>
      <c r="AB40" s="21" t="s">
        <v>89</v>
      </c>
      <c r="AF40" s="21" t="s">
        <v>1045</v>
      </c>
      <c r="AG40" s="21" t="s">
        <v>95</v>
      </c>
    </row>
    <row r="41" spans="1:36" x14ac:dyDescent="0.35">
      <c r="A41" s="21">
        <v>40</v>
      </c>
      <c r="B41" s="20">
        <f>_xlfn.XLOOKUP(C41, csl_deposits!B:B, csl_deposits!A:A, "NA", 0,1)</f>
        <v>16</v>
      </c>
      <c r="C41" s="21" t="s">
        <v>592</v>
      </c>
      <c r="D41" s="21" t="s">
        <v>96</v>
      </c>
      <c r="E41" s="21" t="s">
        <v>1184</v>
      </c>
      <c r="F41" s="22"/>
      <c r="G41" s="21" t="s">
        <v>0</v>
      </c>
      <c r="H41" s="21" t="s">
        <v>1185</v>
      </c>
      <c r="I41" s="21" t="s">
        <v>79</v>
      </c>
      <c r="J41" s="21" t="s">
        <v>0</v>
      </c>
      <c r="K41" s="21" t="s">
        <v>7</v>
      </c>
      <c r="L41" s="24">
        <v>599</v>
      </c>
      <c r="M41" s="24">
        <v>4.8</v>
      </c>
      <c r="P41" s="21" t="s">
        <v>71</v>
      </c>
      <c r="Q41" s="21" t="s">
        <v>25</v>
      </c>
      <c r="R41" s="22"/>
      <c r="S41" s="24">
        <v>599</v>
      </c>
      <c r="T41" s="24">
        <v>4.8</v>
      </c>
      <c r="X41" s="21" t="s">
        <v>1047</v>
      </c>
      <c r="Z41" s="21" t="s">
        <v>15</v>
      </c>
      <c r="AB41" s="21" t="s">
        <v>89</v>
      </c>
      <c r="AF41" s="21" t="s">
        <v>1045</v>
      </c>
      <c r="AG41" s="21" t="s">
        <v>95</v>
      </c>
    </row>
    <row r="42" spans="1:36" x14ac:dyDescent="0.35">
      <c r="A42" s="21">
        <v>41</v>
      </c>
      <c r="B42" s="20">
        <f>_xlfn.XLOOKUP(C42, csl_deposits!B:B, csl_deposits!A:A, "NA", 0,1)</f>
        <v>18</v>
      </c>
      <c r="C42" s="21" t="s">
        <v>603</v>
      </c>
      <c r="E42" s="21" t="s">
        <v>1190</v>
      </c>
      <c r="F42" s="21" t="s">
        <v>1227</v>
      </c>
      <c r="G42" s="21" t="s">
        <v>1</v>
      </c>
      <c r="H42" s="21" t="s">
        <v>1022</v>
      </c>
      <c r="J42" s="21" t="s">
        <v>1</v>
      </c>
      <c r="K42" s="21" t="s">
        <v>1198</v>
      </c>
      <c r="L42" s="21">
        <v>574</v>
      </c>
      <c r="M42" s="21">
        <v>4.7</v>
      </c>
      <c r="N42" s="21" t="s">
        <v>1226</v>
      </c>
      <c r="O42" s="21" t="s">
        <v>1206</v>
      </c>
      <c r="AB42" s="21" t="s">
        <v>98</v>
      </c>
      <c r="AG42" s="21" t="s">
        <v>467</v>
      </c>
      <c r="AH42" s="21" t="s">
        <v>101</v>
      </c>
      <c r="AI42" s="21" t="s">
        <v>463</v>
      </c>
      <c r="AJ42" s="21" t="s">
        <v>29</v>
      </c>
    </row>
    <row r="43" spans="1:36" x14ac:dyDescent="0.35">
      <c r="A43" s="21">
        <v>42</v>
      </c>
      <c r="B43" s="20">
        <f>_xlfn.XLOOKUP(C43, csl_deposits!B:B, csl_deposits!A:A, "NA", 0,1)</f>
        <v>18</v>
      </c>
      <c r="C43" s="21" t="s">
        <v>603</v>
      </c>
      <c r="E43" s="21" t="s">
        <v>1190</v>
      </c>
      <c r="F43" s="21" t="s">
        <v>1227</v>
      </c>
      <c r="G43" s="21" t="s">
        <v>1</v>
      </c>
      <c r="H43" s="21" t="s">
        <v>1022</v>
      </c>
      <c r="J43" s="21" t="s">
        <v>1</v>
      </c>
      <c r="K43" s="21" t="s">
        <v>1198</v>
      </c>
      <c r="L43" s="21">
        <v>574</v>
      </c>
      <c r="M43" s="21">
        <v>4.7</v>
      </c>
      <c r="N43" s="21" t="s">
        <v>1226</v>
      </c>
      <c r="O43" s="21" t="s">
        <v>1206</v>
      </c>
      <c r="AB43" s="21" t="s">
        <v>98</v>
      </c>
      <c r="AG43" s="21" t="s">
        <v>467</v>
      </c>
      <c r="AH43" s="21" t="s">
        <v>101</v>
      </c>
      <c r="AI43" s="21" t="s">
        <v>463</v>
      </c>
      <c r="AJ43" s="21" t="s">
        <v>29</v>
      </c>
    </row>
    <row r="44" spans="1:36" x14ac:dyDescent="0.35">
      <c r="A44" s="21">
        <v>43</v>
      </c>
      <c r="B44" s="20">
        <f>_xlfn.XLOOKUP(C44, csl_deposits!B:B, csl_deposits!A:A, "NA", 0,1)</f>
        <v>18</v>
      </c>
      <c r="C44" s="21" t="s">
        <v>603</v>
      </c>
      <c r="E44" s="21" t="s">
        <v>1190</v>
      </c>
      <c r="F44" s="21" t="s">
        <v>1227</v>
      </c>
      <c r="G44" s="21" t="s">
        <v>1</v>
      </c>
      <c r="H44" s="21" t="s">
        <v>1022</v>
      </c>
      <c r="J44" s="21" t="s">
        <v>1</v>
      </c>
      <c r="K44" s="21" t="s">
        <v>1198</v>
      </c>
      <c r="L44" s="21">
        <v>574</v>
      </c>
      <c r="M44" s="21">
        <v>4.7</v>
      </c>
      <c r="N44" s="21" t="s">
        <v>1226</v>
      </c>
      <c r="O44" s="21" t="s">
        <v>1206</v>
      </c>
      <c r="AB44" s="21" t="s">
        <v>98</v>
      </c>
      <c r="AG44" s="21" t="s">
        <v>467</v>
      </c>
      <c r="AH44" s="21" t="s">
        <v>101</v>
      </c>
      <c r="AI44" s="21" t="s">
        <v>463</v>
      </c>
      <c r="AJ44" s="21" t="s">
        <v>29</v>
      </c>
    </row>
    <row r="45" spans="1:36" x14ac:dyDescent="0.35">
      <c r="A45" s="21">
        <v>44</v>
      </c>
      <c r="B45" s="20">
        <f>_xlfn.XLOOKUP(C45, csl_deposits!B:B, csl_deposits!A:A, "NA", 0,1)</f>
        <v>18</v>
      </c>
      <c r="C45" s="21" t="s">
        <v>603</v>
      </c>
      <c r="E45" s="21" t="s">
        <v>1190</v>
      </c>
      <c r="F45" s="21" t="s">
        <v>1229</v>
      </c>
      <c r="G45" s="21" t="s">
        <v>1</v>
      </c>
      <c r="H45" s="21" t="s">
        <v>1022</v>
      </c>
      <c r="J45" s="21" t="s">
        <v>1</v>
      </c>
      <c r="K45" s="21" t="s">
        <v>1198</v>
      </c>
      <c r="L45" s="21">
        <v>580</v>
      </c>
      <c r="M45" s="21">
        <v>2</v>
      </c>
      <c r="N45" s="21" t="s">
        <v>1228</v>
      </c>
      <c r="O45" s="21" t="s">
        <v>1206</v>
      </c>
      <c r="AB45" s="21" t="s">
        <v>98</v>
      </c>
      <c r="AG45" s="21" t="s">
        <v>467</v>
      </c>
      <c r="AH45" s="21" t="s">
        <v>101</v>
      </c>
      <c r="AI45" s="21" t="s">
        <v>29</v>
      </c>
    </row>
    <row r="46" spans="1:36" x14ac:dyDescent="0.35">
      <c r="A46" s="21">
        <v>45</v>
      </c>
      <c r="B46" s="20">
        <f>_xlfn.XLOOKUP(C46, csl_deposits!B:B, csl_deposits!A:A, "NA", 0,1)</f>
        <v>18</v>
      </c>
      <c r="C46" s="21" t="s">
        <v>603</v>
      </c>
      <c r="E46" s="21" t="s">
        <v>1190</v>
      </c>
      <c r="F46" s="21" t="s">
        <v>1229</v>
      </c>
      <c r="G46" s="21" t="s">
        <v>1</v>
      </c>
      <c r="H46" s="21" t="s">
        <v>1022</v>
      </c>
      <c r="J46" s="21" t="s">
        <v>1</v>
      </c>
      <c r="K46" s="21" t="s">
        <v>1198</v>
      </c>
      <c r="L46" s="21">
        <v>580</v>
      </c>
      <c r="M46" s="21">
        <v>2</v>
      </c>
      <c r="N46" s="21" t="s">
        <v>1228</v>
      </c>
      <c r="O46" s="21" t="s">
        <v>1206</v>
      </c>
      <c r="AB46" s="21" t="s">
        <v>98</v>
      </c>
      <c r="AG46" s="21" t="s">
        <v>467</v>
      </c>
      <c r="AH46" s="21" t="s">
        <v>101</v>
      </c>
      <c r="AI46" s="21" t="s">
        <v>29</v>
      </c>
    </row>
    <row r="47" spans="1:36" x14ac:dyDescent="0.35">
      <c r="A47" s="21">
        <v>46</v>
      </c>
      <c r="B47" s="20">
        <f>_xlfn.XLOOKUP(C47, csl_deposits!B:B, csl_deposits!A:A, "NA", 0,1)</f>
        <v>18</v>
      </c>
      <c r="C47" s="21" t="s">
        <v>603</v>
      </c>
      <c r="E47" s="21" t="s">
        <v>1190</v>
      </c>
      <c r="F47" s="21" t="s">
        <v>1229</v>
      </c>
      <c r="G47" s="21" t="s">
        <v>1</v>
      </c>
      <c r="H47" s="21" t="s">
        <v>1022</v>
      </c>
      <c r="J47" s="21" t="s">
        <v>1</v>
      </c>
      <c r="K47" s="21" t="s">
        <v>1198</v>
      </c>
      <c r="L47" s="21">
        <v>580</v>
      </c>
      <c r="M47" s="21">
        <v>2</v>
      </c>
      <c r="N47" s="21" t="s">
        <v>1228</v>
      </c>
      <c r="O47" s="21" t="s">
        <v>1206</v>
      </c>
      <c r="AB47" s="21" t="s">
        <v>98</v>
      </c>
      <c r="AG47" s="21" t="s">
        <v>467</v>
      </c>
      <c r="AH47" s="21" t="s">
        <v>101</v>
      </c>
      <c r="AI47" s="21" t="s">
        <v>29</v>
      </c>
    </row>
    <row r="48" spans="1:36" x14ac:dyDescent="0.35">
      <c r="A48" s="21">
        <v>47</v>
      </c>
      <c r="B48" s="20">
        <f>_xlfn.XLOOKUP(C48, csl_deposits!B:B, csl_deposits!A:A, "NA", 0,1)</f>
        <v>18</v>
      </c>
      <c r="C48" s="21" t="s">
        <v>603</v>
      </c>
      <c r="D48" s="21" t="s">
        <v>97</v>
      </c>
      <c r="E48" s="21" t="s">
        <v>1190</v>
      </c>
      <c r="F48" s="22"/>
      <c r="G48" s="21" t="s">
        <v>1</v>
      </c>
      <c r="H48" s="21" t="s">
        <v>1185</v>
      </c>
      <c r="I48" s="21" t="s">
        <v>88</v>
      </c>
      <c r="J48" s="21" t="s">
        <v>13</v>
      </c>
      <c r="K48" s="21" t="s">
        <v>7</v>
      </c>
      <c r="L48" s="21">
        <v>550.1</v>
      </c>
      <c r="M48" s="21">
        <v>0.6</v>
      </c>
      <c r="P48" s="21" t="s">
        <v>32</v>
      </c>
      <c r="Q48" s="21" t="s">
        <v>9</v>
      </c>
      <c r="S48" s="21">
        <v>550.14</v>
      </c>
      <c r="T48" s="21">
        <v>0.16</v>
      </c>
      <c r="U48" s="21">
        <v>0.24</v>
      </c>
      <c r="V48" s="21">
        <v>0.63</v>
      </c>
      <c r="W48" s="21">
        <v>202</v>
      </c>
      <c r="X48" s="21" t="s">
        <v>1224</v>
      </c>
      <c r="AB48" s="21" t="s">
        <v>98</v>
      </c>
      <c r="AC48" s="21" t="s">
        <v>99</v>
      </c>
      <c r="AF48" s="21" t="s">
        <v>1225</v>
      </c>
      <c r="AG48" s="21" t="s">
        <v>29</v>
      </c>
    </row>
    <row r="49" spans="1:36" x14ac:dyDescent="0.35">
      <c r="A49" s="21">
        <v>48</v>
      </c>
      <c r="B49" s="20">
        <f>_xlfn.XLOOKUP(C49, csl_deposits!B:B, csl_deposits!A:A, "NA", 0,1)</f>
        <v>18</v>
      </c>
      <c r="C49" s="21" t="s">
        <v>603</v>
      </c>
      <c r="D49" s="21" t="s">
        <v>109</v>
      </c>
      <c r="E49" s="21" t="s">
        <v>1184</v>
      </c>
      <c r="F49" s="21" t="s">
        <v>1234</v>
      </c>
      <c r="G49" s="21" t="s">
        <v>0</v>
      </c>
      <c r="H49" s="21" t="s">
        <v>1185</v>
      </c>
      <c r="I49" s="21" t="s">
        <v>88</v>
      </c>
      <c r="J49" s="21" t="s">
        <v>13</v>
      </c>
      <c r="K49" s="21" t="s">
        <v>7</v>
      </c>
      <c r="L49" s="21">
        <v>609</v>
      </c>
      <c r="M49" s="21">
        <v>5</v>
      </c>
      <c r="P49" s="21" t="s">
        <v>110</v>
      </c>
      <c r="Q49" s="21" t="s">
        <v>9</v>
      </c>
      <c r="S49" s="21">
        <v>609</v>
      </c>
      <c r="T49" s="21">
        <v>5</v>
      </c>
      <c r="W49" s="21">
        <v>0.34</v>
      </c>
      <c r="X49" s="21" t="s">
        <v>1233</v>
      </c>
      <c r="Y49" s="21" t="s">
        <v>111</v>
      </c>
      <c r="AB49" s="21" t="s">
        <v>98</v>
      </c>
      <c r="AD49" s="21" t="s">
        <v>112</v>
      </c>
      <c r="AG49" s="21" t="s">
        <v>113</v>
      </c>
    </row>
    <row r="50" spans="1:36" x14ac:dyDescent="0.35">
      <c r="A50" s="21">
        <v>49</v>
      </c>
      <c r="B50" s="20">
        <f>_xlfn.XLOOKUP(C50, csl_deposits!B:B, csl_deposits!A:A, "NA", 0,1)</f>
        <v>18</v>
      </c>
      <c r="C50" s="21" t="s">
        <v>603</v>
      </c>
      <c r="D50" s="21" t="s">
        <v>114</v>
      </c>
      <c r="E50" s="21" t="s">
        <v>1184</v>
      </c>
      <c r="F50" s="21" t="s">
        <v>1234</v>
      </c>
      <c r="G50" s="21" t="s">
        <v>0</v>
      </c>
      <c r="H50" s="21" t="s">
        <v>1185</v>
      </c>
      <c r="I50" s="21" t="s">
        <v>88</v>
      </c>
      <c r="J50" s="21" t="s">
        <v>0</v>
      </c>
      <c r="K50" s="21" t="s">
        <v>7</v>
      </c>
      <c r="L50" s="21">
        <v>612.48</v>
      </c>
      <c r="M50" s="21">
        <v>0.94</v>
      </c>
      <c r="P50" s="21" t="s">
        <v>32</v>
      </c>
      <c r="Q50" s="21" t="s">
        <v>25</v>
      </c>
      <c r="S50" s="21">
        <v>612.48</v>
      </c>
      <c r="T50" s="21">
        <v>0.62</v>
      </c>
      <c r="U50" s="21">
        <v>0.67</v>
      </c>
      <c r="V50" s="21">
        <v>0.94</v>
      </c>
      <c r="X50" s="21" t="s">
        <v>1235</v>
      </c>
      <c r="Y50" s="21" t="s">
        <v>111</v>
      </c>
      <c r="AB50" s="21" t="s">
        <v>98</v>
      </c>
      <c r="AD50" s="21" t="s">
        <v>112</v>
      </c>
      <c r="AG50" s="21" t="s">
        <v>29</v>
      </c>
    </row>
    <row r="51" spans="1:36" x14ac:dyDescent="0.35">
      <c r="A51" s="21">
        <v>50</v>
      </c>
      <c r="B51" s="20">
        <f>_xlfn.XLOOKUP(C51, csl_deposits!B:B, csl_deposits!A:A, "NA", 0,1)</f>
        <v>18</v>
      </c>
      <c r="C51" s="21" t="s">
        <v>603</v>
      </c>
      <c r="D51" s="21" t="s">
        <v>102</v>
      </c>
      <c r="E51" s="21" t="s">
        <v>1188</v>
      </c>
      <c r="F51" s="21" t="s">
        <v>1231</v>
      </c>
      <c r="G51" s="21" t="s">
        <v>2</v>
      </c>
      <c r="H51" s="21" t="s">
        <v>1185</v>
      </c>
      <c r="I51" s="21" t="s">
        <v>104</v>
      </c>
      <c r="J51" s="21" t="s">
        <v>2</v>
      </c>
      <c r="K51" s="21" t="s">
        <v>105</v>
      </c>
      <c r="L51" s="21">
        <v>587.20000000000005</v>
      </c>
      <c r="M51" s="21">
        <v>3.6</v>
      </c>
      <c r="Q51" s="21" t="s">
        <v>104</v>
      </c>
      <c r="S51" s="21">
        <v>587.20000000000005</v>
      </c>
      <c r="T51" s="21">
        <v>3.6</v>
      </c>
      <c r="W51" s="21">
        <v>1.1599999999999999</v>
      </c>
      <c r="X51" s="21" t="s">
        <v>1230</v>
      </c>
      <c r="AB51" s="21" t="s">
        <v>98</v>
      </c>
      <c r="AC51" s="21" t="s">
        <v>106</v>
      </c>
      <c r="AF51" s="21" t="s">
        <v>1232</v>
      </c>
      <c r="AG51" s="21" t="s">
        <v>29</v>
      </c>
      <c r="AH51" s="21" t="s">
        <v>107</v>
      </c>
      <c r="AI51" s="21" t="s">
        <v>108</v>
      </c>
      <c r="AJ51" s="21" t="s">
        <v>101</v>
      </c>
    </row>
    <row r="52" spans="1:36" x14ac:dyDescent="0.35">
      <c r="A52" s="21">
        <v>51</v>
      </c>
      <c r="B52" s="20">
        <f>_xlfn.XLOOKUP(C52, csl_deposits!B:B, csl_deposits!A:A, "NA", 0,1)</f>
        <v>20</v>
      </c>
      <c r="C52" s="21" t="s">
        <v>606</v>
      </c>
      <c r="E52" s="21" t="s">
        <v>1190</v>
      </c>
      <c r="F52" s="22"/>
      <c r="G52" s="21" t="s">
        <v>1</v>
      </c>
      <c r="H52" s="21" t="s">
        <v>1185</v>
      </c>
      <c r="I52" s="21" t="s">
        <v>121</v>
      </c>
      <c r="J52" s="21" t="s">
        <v>6</v>
      </c>
      <c r="K52" s="21" t="s">
        <v>7</v>
      </c>
      <c r="L52" s="23">
        <v>513</v>
      </c>
      <c r="M52" s="23">
        <v>12</v>
      </c>
      <c r="P52" s="21" t="s">
        <v>71</v>
      </c>
      <c r="Q52" s="21" t="s">
        <v>9</v>
      </c>
      <c r="R52" s="22"/>
      <c r="S52" s="23">
        <v>513</v>
      </c>
      <c r="T52" s="23">
        <v>12</v>
      </c>
      <c r="X52" s="21" t="s">
        <v>1237</v>
      </c>
      <c r="Y52" s="22" t="s">
        <v>122</v>
      </c>
      <c r="AB52" s="22" t="s">
        <v>123</v>
      </c>
      <c r="AC52" s="22"/>
      <c r="AD52" s="22"/>
      <c r="AE52" s="22"/>
      <c r="AF52" s="22"/>
      <c r="AG52" s="21" t="s">
        <v>124</v>
      </c>
      <c r="AH52" s="21" t="s">
        <v>120</v>
      </c>
    </row>
    <row r="53" spans="1:36" x14ac:dyDescent="0.35">
      <c r="A53" s="21">
        <v>52</v>
      </c>
      <c r="B53" s="20">
        <f>_xlfn.XLOOKUP(C53, csl_deposits!B:B, csl_deposits!A:A, "NA", 0,1)</f>
        <v>20</v>
      </c>
      <c r="C53" s="21" t="s">
        <v>606</v>
      </c>
      <c r="E53" s="21" t="s">
        <v>1184</v>
      </c>
      <c r="F53" s="22"/>
      <c r="G53" s="21" t="s">
        <v>0</v>
      </c>
      <c r="H53" s="21" t="s">
        <v>1185</v>
      </c>
      <c r="I53" s="21" t="s">
        <v>115</v>
      </c>
      <c r="J53" s="21" t="s">
        <v>6</v>
      </c>
      <c r="K53" s="21" t="s">
        <v>7</v>
      </c>
      <c r="L53" s="23">
        <v>1857</v>
      </c>
      <c r="M53" s="23">
        <v>5</v>
      </c>
      <c r="Q53" s="21" t="s">
        <v>9</v>
      </c>
      <c r="R53" s="22"/>
      <c r="S53" s="23">
        <v>1857</v>
      </c>
      <c r="T53" s="23">
        <v>5</v>
      </c>
      <c r="X53" s="21" t="s">
        <v>1236</v>
      </c>
      <c r="Y53" s="22" t="s">
        <v>116</v>
      </c>
      <c r="Z53" s="21" t="s">
        <v>117</v>
      </c>
      <c r="AB53" s="22" t="s">
        <v>118</v>
      </c>
      <c r="AC53" s="22"/>
      <c r="AD53" s="22"/>
      <c r="AE53" s="22"/>
      <c r="AF53" s="22"/>
      <c r="AG53" s="22" t="s">
        <v>119</v>
      </c>
      <c r="AH53" s="22" t="s">
        <v>120</v>
      </c>
    </row>
    <row r="54" spans="1:36" x14ac:dyDescent="0.35">
      <c r="A54" s="21">
        <v>53</v>
      </c>
      <c r="B54" s="20">
        <f>_xlfn.XLOOKUP(C54, csl_deposits!B:B, csl_deposits!A:A, "NA", 0,1)</f>
        <v>22</v>
      </c>
      <c r="C54" s="21" t="s">
        <v>618</v>
      </c>
      <c r="E54" s="21" t="s">
        <v>1190</v>
      </c>
      <c r="F54" s="21" t="s">
        <v>1238</v>
      </c>
      <c r="G54" s="21" t="s">
        <v>1</v>
      </c>
      <c r="H54" s="21" t="s">
        <v>1191</v>
      </c>
      <c r="J54" s="21" t="s">
        <v>1</v>
      </c>
      <c r="L54" s="21">
        <v>538.79999999999995</v>
      </c>
      <c r="Y54" s="22"/>
      <c r="AB54" s="21" t="s">
        <v>1239</v>
      </c>
      <c r="AC54" s="21" t="s">
        <v>990</v>
      </c>
      <c r="AG54" s="21" t="s">
        <v>1240</v>
      </c>
      <c r="AH54" s="21" t="s">
        <v>1241</v>
      </c>
    </row>
    <row r="55" spans="1:36" x14ac:dyDescent="0.35">
      <c r="A55" s="21">
        <v>54</v>
      </c>
      <c r="B55" s="20">
        <f>_xlfn.XLOOKUP(C55, csl_deposits!B:B, csl_deposits!A:A, "NA", 0,1)</f>
        <v>24</v>
      </c>
      <c r="C55" s="21" t="s">
        <v>627</v>
      </c>
      <c r="E55" s="21" t="s">
        <v>1190</v>
      </c>
      <c r="F55" s="21" t="s">
        <v>1243</v>
      </c>
      <c r="G55" s="21" t="s">
        <v>1</v>
      </c>
      <c r="H55" s="21" t="s">
        <v>1185</v>
      </c>
      <c r="I55" s="21" t="s">
        <v>31</v>
      </c>
      <c r="J55" s="21" t="s">
        <v>13</v>
      </c>
      <c r="K55" s="21" t="s">
        <v>7</v>
      </c>
      <c r="L55" s="21">
        <v>571</v>
      </c>
      <c r="M55" s="21">
        <v>1</v>
      </c>
      <c r="P55" s="21" t="s">
        <v>125</v>
      </c>
      <c r="Q55" s="21" t="s">
        <v>9</v>
      </c>
      <c r="S55" s="21">
        <v>571</v>
      </c>
      <c r="T55" s="21">
        <v>1</v>
      </c>
      <c r="X55" s="21" t="s">
        <v>1242</v>
      </c>
      <c r="Y55" s="21" t="s">
        <v>116</v>
      </c>
      <c r="AB55" s="21" t="s">
        <v>126</v>
      </c>
      <c r="AG55" s="21" t="s">
        <v>127</v>
      </c>
      <c r="AH55" s="21" t="s">
        <v>128</v>
      </c>
    </row>
    <row r="56" spans="1:36" x14ac:dyDescent="0.35">
      <c r="A56" s="21">
        <v>55</v>
      </c>
      <c r="B56" s="20">
        <f>_xlfn.XLOOKUP(C56, csl_deposits!B:B, csl_deposits!A:A, "NA", 0,1)</f>
        <v>92</v>
      </c>
      <c r="C56" s="21" t="s">
        <v>1475</v>
      </c>
      <c r="E56" s="21" t="s">
        <v>1190</v>
      </c>
      <c r="F56" s="21" t="s">
        <v>1537</v>
      </c>
      <c r="G56" s="21" t="s">
        <v>1</v>
      </c>
      <c r="H56" s="21" t="s">
        <v>1191</v>
      </c>
      <c r="J56" s="21" t="s">
        <v>1</v>
      </c>
      <c r="L56" s="21">
        <v>521</v>
      </c>
      <c r="Y56" s="22"/>
      <c r="AB56" s="21" t="s">
        <v>1479</v>
      </c>
      <c r="AG56" s="21" t="s">
        <v>1473</v>
      </c>
    </row>
    <row r="57" spans="1:36" x14ac:dyDescent="0.35">
      <c r="A57" s="21">
        <v>56</v>
      </c>
      <c r="B57" s="20">
        <f>_xlfn.XLOOKUP(C57, csl_deposits!B:B, csl_deposits!A:A, "NA", 0,1)</f>
        <v>92</v>
      </c>
      <c r="C57" s="21" t="s">
        <v>1475</v>
      </c>
      <c r="E57" s="21" t="s">
        <v>1188</v>
      </c>
      <c r="F57" s="21" t="s">
        <v>1478</v>
      </c>
      <c r="G57" s="21" t="s">
        <v>0</v>
      </c>
      <c r="H57" s="21" t="s">
        <v>1185</v>
      </c>
      <c r="I57" s="21" t="s">
        <v>1480</v>
      </c>
      <c r="J57" s="21" t="s">
        <v>0</v>
      </c>
      <c r="K57" s="21" t="s">
        <v>298</v>
      </c>
      <c r="L57" s="21">
        <v>620</v>
      </c>
      <c r="P57" s="21" t="s">
        <v>125</v>
      </c>
      <c r="Q57" s="21" t="s">
        <v>159</v>
      </c>
      <c r="S57" s="21">
        <v>620</v>
      </c>
      <c r="X57" s="21" t="s">
        <v>1483</v>
      </c>
      <c r="Y57" s="22" t="s">
        <v>1485</v>
      </c>
      <c r="AB57" s="21" t="s">
        <v>1477</v>
      </c>
      <c r="AF57" s="21" t="s">
        <v>1486</v>
      </c>
      <c r="AG57" s="21" t="s">
        <v>1473</v>
      </c>
    </row>
    <row r="58" spans="1:36" x14ac:dyDescent="0.35">
      <c r="A58" s="21">
        <v>57</v>
      </c>
      <c r="B58" s="20">
        <f>_xlfn.XLOOKUP(C58, csl_deposits!B:B, csl_deposits!A:A, "NA", 0,1)</f>
        <v>92</v>
      </c>
      <c r="C58" s="21" t="s">
        <v>1475</v>
      </c>
      <c r="E58" s="21" t="s">
        <v>1188</v>
      </c>
      <c r="F58" s="21" t="s">
        <v>1478</v>
      </c>
      <c r="G58" s="21" t="s">
        <v>0</v>
      </c>
      <c r="H58" s="21" t="s">
        <v>1185</v>
      </c>
      <c r="I58" s="21" t="s">
        <v>104</v>
      </c>
      <c r="J58" s="21" t="s">
        <v>0</v>
      </c>
      <c r="K58" s="21" t="s">
        <v>7</v>
      </c>
      <c r="L58" s="21">
        <v>637</v>
      </c>
      <c r="M58" s="21">
        <v>18</v>
      </c>
      <c r="P58" s="21" t="s">
        <v>14</v>
      </c>
      <c r="Q58" s="21" t="s">
        <v>25</v>
      </c>
      <c r="S58" s="21">
        <v>637</v>
      </c>
      <c r="T58" s="21">
        <v>18</v>
      </c>
      <c r="X58" s="21" t="s">
        <v>1483</v>
      </c>
      <c r="Y58" s="22" t="s">
        <v>1484</v>
      </c>
      <c r="AB58" s="21" t="s">
        <v>1477</v>
      </c>
      <c r="AF58" s="21" t="s">
        <v>1486</v>
      </c>
      <c r="AG58" s="21" t="s">
        <v>1473</v>
      </c>
    </row>
    <row r="59" spans="1:36" x14ac:dyDescent="0.35">
      <c r="A59" s="21">
        <v>58</v>
      </c>
      <c r="B59" s="20">
        <f>_xlfn.XLOOKUP(C59, csl_deposits!B:B, csl_deposits!A:A, "NA", 0,1)</f>
        <v>25</v>
      </c>
      <c r="C59" s="21" t="s">
        <v>634</v>
      </c>
      <c r="E59" s="21" t="s">
        <v>1190</v>
      </c>
      <c r="F59" s="21" t="s">
        <v>1245</v>
      </c>
      <c r="G59" s="21" t="s">
        <v>1</v>
      </c>
      <c r="H59" s="21" t="s">
        <v>1185</v>
      </c>
      <c r="I59" s="21" t="s">
        <v>31</v>
      </c>
      <c r="J59" s="21" t="s">
        <v>13</v>
      </c>
      <c r="K59" s="21" t="s">
        <v>7</v>
      </c>
      <c r="L59" s="21">
        <v>609.70000000000005</v>
      </c>
      <c r="M59" s="21">
        <v>5.5</v>
      </c>
      <c r="P59" s="21" t="s">
        <v>71</v>
      </c>
      <c r="Q59" s="21" t="s">
        <v>9</v>
      </c>
      <c r="S59" s="21">
        <v>609.70000000000005</v>
      </c>
      <c r="T59" s="21">
        <v>5.5</v>
      </c>
      <c r="X59" s="21" t="s">
        <v>1244</v>
      </c>
      <c r="Z59" s="21" t="s">
        <v>129</v>
      </c>
      <c r="AG59" s="21" t="s">
        <v>130</v>
      </c>
      <c r="AH59" s="21" t="s">
        <v>131</v>
      </c>
      <c r="AI59" s="21" t="s">
        <v>132</v>
      </c>
    </row>
    <row r="60" spans="1:36" x14ac:dyDescent="0.35">
      <c r="A60" s="21">
        <v>59</v>
      </c>
      <c r="B60" s="20">
        <f>_xlfn.XLOOKUP(C60, csl_deposits!B:B, csl_deposits!A:A, "NA", 0,1)</f>
        <v>25</v>
      </c>
      <c r="C60" s="21" t="s">
        <v>634</v>
      </c>
      <c r="E60" s="21" t="s">
        <v>1190</v>
      </c>
      <c r="F60" s="21" t="s">
        <v>1245</v>
      </c>
      <c r="G60" s="21" t="s">
        <v>1</v>
      </c>
      <c r="H60" s="21" t="s">
        <v>1185</v>
      </c>
      <c r="I60" s="21" t="s">
        <v>31</v>
      </c>
      <c r="J60" s="21" t="s">
        <v>13</v>
      </c>
      <c r="K60" s="21" t="s">
        <v>7</v>
      </c>
      <c r="L60" s="21">
        <v>604</v>
      </c>
      <c r="M60" s="21">
        <v>6</v>
      </c>
      <c r="P60" s="21" t="s">
        <v>71</v>
      </c>
      <c r="Q60" s="21" t="s">
        <v>9</v>
      </c>
      <c r="S60" s="21">
        <v>604</v>
      </c>
      <c r="T60" s="21">
        <v>6</v>
      </c>
      <c r="X60" s="21" t="s">
        <v>1244</v>
      </c>
      <c r="Z60" s="21" t="s">
        <v>129</v>
      </c>
      <c r="AG60" s="21" t="s">
        <v>130</v>
      </c>
      <c r="AH60" s="21" t="s">
        <v>131</v>
      </c>
      <c r="AI60" s="21" t="s">
        <v>132</v>
      </c>
    </row>
    <row r="61" spans="1:36" x14ac:dyDescent="0.35">
      <c r="A61" s="21">
        <v>60</v>
      </c>
      <c r="B61" s="20">
        <f>_xlfn.XLOOKUP(C61, csl_deposits!B:B, csl_deposits!A:A, "NA", 0,1)</f>
        <v>25</v>
      </c>
      <c r="C61" s="21" t="s">
        <v>634</v>
      </c>
      <c r="E61" s="21" t="s">
        <v>1190</v>
      </c>
      <c r="F61" s="21" t="s">
        <v>1245</v>
      </c>
      <c r="G61" s="21" t="s">
        <v>1</v>
      </c>
      <c r="H61" s="21" t="s">
        <v>1185</v>
      </c>
      <c r="I61" s="21" t="s">
        <v>31</v>
      </c>
      <c r="J61" s="21" t="s">
        <v>13</v>
      </c>
      <c r="K61" s="21" t="s">
        <v>7</v>
      </c>
      <c r="L61" s="21">
        <v>609.70000000000005</v>
      </c>
      <c r="M61" s="21">
        <v>5.5</v>
      </c>
      <c r="P61" s="21" t="s">
        <v>71</v>
      </c>
      <c r="Q61" s="21" t="s">
        <v>9</v>
      </c>
      <c r="S61" s="21">
        <v>609.70000000000005</v>
      </c>
      <c r="T61" s="21">
        <v>5.5</v>
      </c>
      <c r="X61" s="21" t="s">
        <v>1244</v>
      </c>
      <c r="Z61" s="21" t="s">
        <v>129</v>
      </c>
      <c r="AG61" s="21" t="s">
        <v>130</v>
      </c>
      <c r="AH61" s="21" t="s">
        <v>131</v>
      </c>
      <c r="AI61" s="21" t="s">
        <v>132</v>
      </c>
    </row>
    <row r="62" spans="1:36" x14ac:dyDescent="0.35">
      <c r="A62" s="21">
        <v>61</v>
      </c>
      <c r="B62" s="20">
        <f>_xlfn.XLOOKUP(C62, csl_deposits!B:B, csl_deposits!A:A, "NA", 0,1)</f>
        <v>25</v>
      </c>
      <c r="C62" s="21" t="s">
        <v>634</v>
      </c>
      <c r="E62" s="21" t="s">
        <v>1190</v>
      </c>
      <c r="F62" s="21" t="s">
        <v>1245</v>
      </c>
      <c r="G62" s="21" t="s">
        <v>1</v>
      </c>
      <c r="H62" s="21" t="s">
        <v>1185</v>
      </c>
      <c r="I62" s="21" t="s">
        <v>31</v>
      </c>
      <c r="J62" s="21" t="s">
        <v>13</v>
      </c>
      <c r="K62" s="21" t="s">
        <v>7</v>
      </c>
      <c r="L62" s="21">
        <v>604</v>
      </c>
      <c r="M62" s="21">
        <v>6</v>
      </c>
      <c r="P62" s="21" t="s">
        <v>71</v>
      </c>
      <c r="Q62" s="21" t="s">
        <v>9</v>
      </c>
      <c r="S62" s="21">
        <v>604</v>
      </c>
      <c r="T62" s="21">
        <v>6</v>
      </c>
      <c r="X62" s="21" t="s">
        <v>1244</v>
      </c>
      <c r="Z62" s="21" t="s">
        <v>129</v>
      </c>
      <c r="AG62" s="21" t="s">
        <v>130</v>
      </c>
      <c r="AH62" s="21" t="s">
        <v>131</v>
      </c>
      <c r="AI62" s="21" t="s">
        <v>132</v>
      </c>
    </row>
    <row r="63" spans="1:36" x14ac:dyDescent="0.35">
      <c r="A63" s="21">
        <v>62</v>
      </c>
      <c r="B63" s="20">
        <f>_xlfn.XLOOKUP(C63, csl_deposits!B:B, csl_deposits!A:A, "NA", 0,1)</f>
        <v>26</v>
      </c>
      <c r="C63" s="21" t="s">
        <v>642</v>
      </c>
      <c r="D63" s="21" t="s">
        <v>133</v>
      </c>
      <c r="E63" s="21" t="s">
        <v>1190</v>
      </c>
      <c r="F63" s="21" t="s">
        <v>1018</v>
      </c>
      <c r="G63" s="21" t="s">
        <v>1</v>
      </c>
      <c r="H63" s="21" t="s">
        <v>1185</v>
      </c>
      <c r="I63" s="21" t="s">
        <v>88</v>
      </c>
      <c r="J63" s="21" t="s">
        <v>13</v>
      </c>
      <c r="K63" s="21" t="s">
        <v>7</v>
      </c>
      <c r="L63" s="24">
        <v>579.88</v>
      </c>
      <c r="M63" s="21">
        <v>0.81</v>
      </c>
      <c r="P63" s="21" t="s">
        <v>32</v>
      </c>
      <c r="Q63" s="21" t="s">
        <v>9</v>
      </c>
      <c r="R63" s="22" t="s">
        <v>135</v>
      </c>
      <c r="S63" s="24">
        <v>579.88</v>
      </c>
      <c r="T63" s="24">
        <v>0.44</v>
      </c>
      <c r="U63" s="21">
        <v>0.52</v>
      </c>
      <c r="V63" s="21">
        <v>0.81</v>
      </c>
      <c r="W63" s="21">
        <v>0.82</v>
      </c>
      <c r="X63" s="21" t="s">
        <v>1019</v>
      </c>
      <c r="Z63" s="21" t="s">
        <v>136</v>
      </c>
      <c r="AB63" s="21" t="s">
        <v>137</v>
      </c>
      <c r="AF63" s="21" t="s">
        <v>919</v>
      </c>
      <c r="AG63" s="21" t="s">
        <v>138</v>
      </c>
    </row>
    <row r="64" spans="1:36" x14ac:dyDescent="0.35">
      <c r="A64" s="21">
        <v>63</v>
      </c>
      <c r="B64" s="20">
        <f>_xlfn.XLOOKUP(C64, csl_deposits!B:B, csl_deposits!A:A, "NA", 0,1)</f>
        <v>26</v>
      </c>
      <c r="C64" s="21" t="s">
        <v>642</v>
      </c>
      <c r="D64" s="21" t="s">
        <v>139</v>
      </c>
      <c r="E64" s="21" t="s">
        <v>1184</v>
      </c>
      <c r="F64" s="21" t="s">
        <v>1018</v>
      </c>
      <c r="G64" s="21" t="s">
        <v>0</v>
      </c>
      <c r="H64" s="21" t="s">
        <v>1185</v>
      </c>
      <c r="I64" s="21" t="s">
        <v>88</v>
      </c>
      <c r="J64" s="21" t="s">
        <v>13</v>
      </c>
      <c r="K64" s="21" t="s">
        <v>7</v>
      </c>
      <c r="L64" s="24">
        <v>580.34</v>
      </c>
      <c r="M64" s="21">
        <v>0.88</v>
      </c>
      <c r="P64" s="21" t="s">
        <v>32</v>
      </c>
      <c r="Q64" s="21" t="s">
        <v>9</v>
      </c>
      <c r="R64" s="22" t="s">
        <v>140</v>
      </c>
      <c r="S64" s="24">
        <v>580.34</v>
      </c>
      <c r="T64" s="24">
        <v>0.52</v>
      </c>
      <c r="U64" s="21">
        <v>0.62</v>
      </c>
      <c r="V64" s="21">
        <v>0.88</v>
      </c>
      <c r="W64" s="21">
        <v>0.36</v>
      </c>
      <c r="X64" s="21" t="s">
        <v>1020</v>
      </c>
      <c r="Z64" s="21" t="s">
        <v>136</v>
      </c>
      <c r="AB64" s="21" t="s">
        <v>141</v>
      </c>
      <c r="AF64" s="21" t="s">
        <v>919</v>
      </c>
      <c r="AG64" s="21" t="s">
        <v>138</v>
      </c>
    </row>
    <row r="65" spans="1:36" x14ac:dyDescent="0.35">
      <c r="A65" s="21">
        <v>64</v>
      </c>
      <c r="B65" s="20">
        <f>_xlfn.XLOOKUP(C65, csl_deposits!B:B, csl_deposits!A:A, "NA", 0,1)</f>
        <v>26</v>
      </c>
      <c r="C65" s="21" t="s">
        <v>642</v>
      </c>
      <c r="D65" s="21" t="s">
        <v>142</v>
      </c>
      <c r="E65" s="21" t="s">
        <v>1184</v>
      </c>
      <c r="F65" s="21" t="s">
        <v>1018</v>
      </c>
      <c r="G65" s="21" t="s">
        <v>0</v>
      </c>
      <c r="H65" s="21" t="s">
        <v>1185</v>
      </c>
      <c r="I65" s="21" t="s">
        <v>88</v>
      </c>
      <c r="J65" s="21" t="s">
        <v>13</v>
      </c>
      <c r="K65" s="21" t="s">
        <v>7</v>
      </c>
      <c r="L65" s="24">
        <v>580.9</v>
      </c>
      <c r="M65" s="21">
        <v>0.82</v>
      </c>
      <c r="P65" s="21" t="s">
        <v>32</v>
      </c>
      <c r="Q65" s="21" t="s">
        <v>9</v>
      </c>
      <c r="R65" s="22" t="s">
        <v>143</v>
      </c>
      <c r="S65" s="24">
        <v>580.9</v>
      </c>
      <c r="T65" s="24">
        <v>0.4</v>
      </c>
      <c r="U65" s="21">
        <v>0.53</v>
      </c>
      <c r="V65" s="21">
        <v>0.82</v>
      </c>
      <c r="W65" s="21">
        <v>1.1000000000000001</v>
      </c>
      <c r="X65" s="21" t="s">
        <v>1021</v>
      </c>
      <c r="Z65" s="21" t="s">
        <v>136</v>
      </c>
      <c r="AB65" s="21" t="s">
        <v>141</v>
      </c>
      <c r="AF65" s="21" t="s">
        <v>919</v>
      </c>
      <c r="AG65" s="21" t="s">
        <v>138</v>
      </c>
    </row>
    <row r="66" spans="1:36" x14ac:dyDescent="0.35">
      <c r="A66" s="21">
        <v>65</v>
      </c>
      <c r="B66" s="20">
        <f>_xlfn.XLOOKUP(C66, csl_deposits!B:B, csl_deposits!A:A, "NA", 0,1)</f>
        <v>27</v>
      </c>
      <c r="C66" s="21" t="s">
        <v>647</v>
      </c>
      <c r="D66" s="21" t="s">
        <v>30</v>
      </c>
      <c r="E66" s="21" t="s">
        <v>1190</v>
      </c>
      <c r="F66" s="22" t="s">
        <v>1201</v>
      </c>
      <c r="G66" s="21" t="s">
        <v>1</v>
      </c>
      <c r="H66" s="21" t="s">
        <v>1185</v>
      </c>
      <c r="I66" s="21" t="s">
        <v>31</v>
      </c>
      <c r="J66" s="21" t="s">
        <v>13</v>
      </c>
      <c r="K66" s="21" t="s">
        <v>7</v>
      </c>
      <c r="L66" s="23">
        <v>569.36</v>
      </c>
      <c r="M66" s="23">
        <v>0.28999999999999998</v>
      </c>
      <c r="P66" s="21" t="s">
        <v>32</v>
      </c>
      <c r="Q66" s="21" t="s">
        <v>9</v>
      </c>
      <c r="R66" s="22"/>
      <c r="S66" s="23">
        <v>569.36</v>
      </c>
      <c r="T66" s="23">
        <v>0.28999999999999998</v>
      </c>
      <c r="W66" s="21">
        <v>0.05</v>
      </c>
      <c r="X66" s="21" t="s">
        <v>1025</v>
      </c>
      <c r="Y66" s="22"/>
      <c r="Z66" s="21" t="s">
        <v>33</v>
      </c>
      <c r="AB66" s="22" t="s">
        <v>34</v>
      </c>
      <c r="AG66" s="21" t="s">
        <v>35</v>
      </c>
      <c r="AH66" s="21" t="s">
        <v>37</v>
      </c>
    </row>
    <row r="67" spans="1:36" x14ac:dyDescent="0.35">
      <c r="A67" s="21">
        <v>66</v>
      </c>
      <c r="B67" s="20">
        <f>_xlfn.XLOOKUP(C67, csl_deposits!B:B, csl_deposits!A:A, "NA", 0,1)</f>
        <v>27</v>
      </c>
      <c r="C67" s="21" t="s">
        <v>647</v>
      </c>
      <c r="D67" s="21" t="s">
        <v>38</v>
      </c>
      <c r="E67" s="21" t="s">
        <v>1190</v>
      </c>
      <c r="F67" s="22" t="s">
        <v>1201</v>
      </c>
      <c r="G67" s="21" t="s">
        <v>1</v>
      </c>
      <c r="H67" s="21" t="s">
        <v>1185</v>
      </c>
      <c r="I67" s="21" t="s">
        <v>31</v>
      </c>
      <c r="J67" s="21" t="s">
        <v>13</v>
      </c>
      <c r="K67" s="21" t="s">
        <v>7</v>
      </c>
      <c r="L67" s="23">
        <v>569.4</v>
      </c>
      <c r="M67" s="23">
        <v>0.12</v>
      </c>
      <c r="P67" s="21" t="s">
        <v>32</v>
      </c>
      <c r="Q67" s="21" t="s">
        <v>9</v>
      </c>
      <c r="R67" s="22"/>
      <c r="S67" s="23">
        <v>569.4</v>
      </c>
      <c r="T67" s="23">
        <v>0.12</v>
      </c>
      <c r="W67" s="21">
        <v>1.35</v>
      </c>
      <c r="X67" s="21" t="s">
        <v>1025</v>
      </c>
      <c r="Y67" s="22"/>
      <c r="Z67" s="21" t="s">
        <v>33</v>
      </c>
      <c r="AB67" s="22" t="s">
        <v>34</v>
      </c>
      <c r="AG67" s="21" t="s">
        <v>35</v>
      </c>
      <c r="AH67" s="21" t="s">
        <v>37</v>
      </c>
    </row>
    <row r="68" spans="1:36" x14ac:dyDescent="0.35">
      <c r="A68" s="21">
        <v>67</v>
      </c>
      <c r="B68" s="20">
        <f>_xlfn.XLOOKUP(C68, csl_deposits!B:B, csl_deposits!A:A, "NA", 0,1)</f>
        <v>28</v>
      </c>
      <c r="C68" s="21" t="s">
        <v>650</v>
      </c>
      <c r="D68" s="21" t="s">
        <v>144</v>
      </c>
      <c r="E68" s="21" t="s">
        <v>1184</v>
      </c>
      <c r="F68" s="21" t="s">
        <v>1057</v>
      </c>
      <c r="G68" s="21" t="s">
        <v>0</v>
      </c>
      <c r="H68" s="21" t="s">
        <v>1185</v>
      </c>
      <c r="I68" s="21" t="s">
        <v>58</v>
      </c>
      <c r="J68" s="21" t="s">
        <v>0</v>
      </c>
      <c r="K68" s="21" t="s">
        <v>7</v>
      </c>
      <c r="L68" s="24">
        <v>562.1</v>
      </c>
      <c r="M68" s="21">
        <v>3.1</v>
      </c>
      <c r="P68" s="21" t="s">
        <v>14</v>
      </c>
      <c r="Q68" s="21" t="s">
        <v>25</v>
      </c>
      <c r="R68" s="22"/>
      <c r="S68" s="24">
        <v>562.1</v>
      </c>
      <c r="T68" s="24"/>
      <c r="V68" s="21">
        <v>3.1</v>
      </c>
      <c r="W68" s="21">
        <v>0.31</v>
      </c>
      <c r="X68" s="21" t="s">
        <v>1058</v>
      </c>
      <c r="AB68" s="21" t="s">
        <v>145</v>
      </c>
      <c r="AC68" s="21" t="s">
        <v>146</v>
      </c>
      <c r="AG68" s="21" t="s">
        <v>147</v>
      </c>
    </row>
    <row r="69" spans="1:36" x14ac:dyDescent="0.35">
      <c r="A69" s="21">
        <v>68</v>
      </c>
      <c r="B69" s="20">
        <f>_xlfn.XLOOKUP(C69, csl_deposits!B:B, csl_deposits!A:A, "NA", 0,1)</f>
        <v>28</v>
      </c>
      <c r="C69" s="21" t="s">
        <v>650</v>
      </c>
      <c r="D69" s="21" t="s">
        <v>151</v>
      </c>
      <c r="E69" s="21" t="s">
        <v>1184</v>
      </c>
      <c r="F69" s="21" t="s">
        <v>1057</v>
      </c>
      <c r="G69" s="21" t="s">
        <v>0</v>
      </c>
      <c r="H69" s="21" t="s">
        <v>1185</v>
      </c>
      <c r="I69" s="21" t="s">
        <v>152</v>
      </c>
      <c r="J69" s="21" t="s">
        <v>0</v>
      </c>
      <c r="K69" s="21" t="s">
        <v>7</v>
      </c>
      <c r="L69" s="24">
        <v>560.6</v>
      </c>
      <c r="M69" s="25">
        <v>3.3</v>
      </c>
      <c r="P69" s="21" t="s">
        <v>14</v>
      </c>
      <c r="Q69" s="21" t="s">
        <v>25</v>
      </c>
      <c r="R69" s="22"/>
      <c r="S69" s="24">
        <v>560.6</v>
      </c>
      <c r="T69" s="23"/>
      <c r="V69" s="25">
        <v>3.3</v>
      </c>
      <c r="W69" s="21">
        <v>0.33</v>
      </c>
      <c r="X69" s="21" t="s">
        <v>1060</v>
      </c>
      <c r="AB69" s="21" t="s">
        <v>145</v>
      </c>
      <c r="AC69" s="21" t="s">
        <v>149</v>
      </c>
      <c r="AD69" s="21" t="s">
        <v>153</v>
      </c>
      <c r="AG69" s="21" t="s">
        <v>147</v>
      </c>
    </row>
    <row r="70" spans="1:36" x14ac:dyDescent="0.35">
      <c r="A70" s="21">
        <v>69</v>
      </c>
      <c r="B70" s="20">
        <f>_xlfn.XLOOKUP(C70, csl_deposits!B:B, csl_deposits!A:A, "NA", 0,1)</f>
        <v>28</v>
      </c>
      <c r="C70" s="21" t="s">
        <v>650</v>
      </c>
      <c r="D70" s="21" t="s">
        <v>148</v>
      </c>
      <c r="E70" s="21" t="s">
        <v>1188</v>
      </c>
      <c r="F70" s="21" t="s">
        <v>1057</v>
      </c>
      <c r="G70" s="21" t="s">
        <v>0</v>
      </c>
      <c r="H70" s="21" t="s">
        <v>1185</v>
      </c>
      <c r="I70" s="21" t="s">
        <v>61</v>
      </c>
      <c r="J70" s="21" t="s">
        <v>0</v>
      </c>
      <c r="K70" s="21" t="s">
        <v>7</v>
      </c>
      <c r="L70" s="24">
        <v>563.5</v>
      </c>
      <c r="M70" s="21">
        <v>8.4</v>
      </c>
      <c r="P70" s="21" t="s">
        <v>14</v>
      </c>
      <c r="Q70" s="21" t="s">
        <v>25</v>
      </c>
      <c r="R70" s="22"/>
      <c r="S70" s="24">
        <v>563.5</v>
      </c>
      <c r="T70" s="24"/>
      <c r="V70" s="21">
        <v>8.4</v>
      </c>
      <c r="W70" s="21">
        <v>0.48</v>
      </c>
      <c r="X70" s="21" t="s">
        <v>1059</v>
      </c>
      <c r="AB70" s="21" t="s">
        <v>145</v>
      </c>
      <c r="AC70" s="21" t="s">
        <v>149</v>
      </c>
      <c r="AD70" s="21" t="s">
        <v>150</v>
      </c>
      <c r="AG70" s="21" t="s">
        <v>147</v>
      </c>
    </row>
    <row r="71" spans="1:36" x14ac:dyDescent="0.35">
      <c r="A71" s="21">
        <v>70</v>
      </c>
      <c r="B71" s="20">
        <f>_xlfn.XLOOKUP(C71, csl_deposits!B:B, csl_deposits!A:A, "NA", 0,1)</f>
        <v>29</v>
      </c>
      <c r="C71" s="21" t="s">
        <v>653</v>
      </c>
      <c r="E71" s="21" t="s">
        <v>1190</v>
      </c>
      <c r="G71" s="21" t="s">
        <v>1</v>
      </c>
      <c r="H71" s="21" t="s">
        <v>1185</v>
      </c>
      <c r="J71" s="21" t="s">
        <v>0</v>
      </c>
      <c r="K71" s="21" t="s">
        <v>7</v>
      </c>
      <c r="L71" s="21">
        <v>501</v>
      </c>
      <c r="M71" s="21">
        <v>10</v>
      </c>
      <c r="P71" s="21" t="s">
        <v>110</v>
      </c>
      <c r="Q71" s="21" t="s">
        <v>25</v>
      </c>
      <c r="R71" s="22"/>
      <c r="S71" s="24">
        <v>501</v>
      </c>
      <c r="T71" s="21">
        <v>10</v>
      </c>
      <c r="X71" s="21" t="s">
        <v>1246</v>
      </c>
      <c r="Z71" s="21" t="s">
        <v>154</v>
      </c>
      <c r="AG71" s="21" t="s">
        <v>155</v>
      </c>
      <c r="AH71" s="21" t="s">
        <v>156</v>
      </c>
    </row>
    <row r="72" spans="1:36" x14ac:dyDescent="0.35">
      <c r="A72" s="21">
        <v>71</v>
      </c>
      <c r="B72" s="20">
        <f>_xlfn.XLOOKUP(C72, csl_deposits!B:B, csl_deposits!A:A, "NA", 0,1)</f>
        <v>29</v>
      </c>
      <c r="C72" s="21" t="s">
        <v>653</v>
      </c>
      <c r="E72" s="21" t="s">
        <v>1184</v>
      </c>
      <c r="G72" s="21" t="s">
        <v>0</v>
      </c>
      <c r="H72" s="21" t="s">
        <v>1185</v>
      </c>
      <c r="I72" s="21" t="s">
        <v>157</v>
      </c>
      <c r="J72" s="21" t="s">
        <v>0</v>
      </c>
      <c r="K72" s="21" t="s">
        <v>158</v>
      </c>
      <c r="L72" s="21">
        <v>595</v>
      </c>
      <c r="M72" s="21">
        <v>12</v>
      </c>
      <c r="Q72" s="21" t="s">
        <v>159</v>
      </c>
      <c r="R72" s="22"/>
      <c r="S72" s="21">
        <v>595</v>
      </c>
      <c r="T72" s="21">
        <v>12</v>
      </c>
      <c r="X72" s="21" t="s">
        <v>1247</v>
      </c>
      <c r="AB72" s="21" t="s">
        <v>160</v>
      </c>
      <c r="AG72" s="21" t="s">
        <v>161</v>
      </c>
      <c r="AH72" s="21" t="s">
        <v>156</v>
      </c>
    </row>
    <row r="73" spans="1:36" x14ac:dyDescent="0.35">
      <c r="A73" s="21">
        <v>72</v>
      </c>
      <c r="B73" s="20">
        <f>_xlfn.XLOOKUP(C73, csl_deposits!B:B, csl_deposits!A:A, "NA", 0,1)</f>
        <v>29</v>
      </c>
      <c r="C73" s="21" t="s">
        <v>653</v>
      </c>
      <c r="D73" s="21" t="s">
        <v>162</v>
      </c>
      <c r="E73" s="21" t="s">
        <v>1188</v>
      </c>
      <c r="F73" s="21" t="s">
        <v>1249</v>
      </c>
      <c r="H73" s="21" t="s">
        <v>1185</v>
      </c>
      <c r="I73" s="21" t="s">
        <v>79</v>
      </c>
      <c r="J73" s="21" t="s">
        <v>0</v>
      </c>
      <c r="K73" s="21" t="s">
        <v>7</v>
      </c>
      <c r="L73" s="24">
        <v>550</v>
      </c>
      <c r="M73" s="21">
        <v>24</v>
      </c>
      <c r="P73" s="21" t="s">
        <v>14</v>
      </c>
      <c r="Q73" s="21" t="s">
        <v>9</v>
      </c>
      <c r="R73" s="22"/>
      <c r="S73" s="24">
        <v>550</v>
      </c>
      <c r="T73" s="21">
        <v>24</v>
      </c>
      <c r="X73" s="21" t="s">
        <v>1248</v>
      </c>
      <c r="Z73" s="21" t="s">
        <v>653</v>
      </c>
      <c r="AF73" s="21" t="s">
        <v>1452</v>
      </c>
      <c r="AG73" s="21" t="s">
        <v>163</v>
      </c>
      <c r="AH73" s="21" t="s">
        <v>164</v>
      </c>
    </row>
    <row r="74" spans="1:36" x14ac:dyDescent="0.35">
      <c r="A74" s="21">
        <v>73</v>
      </c>
      <c r="B74" s="20">
        <f>_xlfn.XLOOKUP(C74, csl_deposits!B:B, csl_deposits!A:A, "NA", 0,1)</f>
        <v>30</v>
      </c>
      <c r="C74" s="21" t="s">
        <v>660</v>
      </c>
      <c r="E74" s="21" t="s">
        <v>1190</v>
      </c>
      <c r="F74" s="21" t="s">
        <v>1250</v>
      </c>
      <c r="G74" s="21" t="s">
        <v>1</v>
      </c>
      <c r="H74" s="21" t="s">
        <v>1191</v>
      </c>
      <c r="J74" s="21" t="s">
        <v>1</v>
      </c>
      <c r="L74" s="21">
        <v>538.79999999999995</v>
      </c>
      <c r="M74" s="21">
        <v>0.2</v>
      </c>
      <c r="R74" s="22"/>
      <c r="AB74" s="21" t="s">
        <v>1251</v>
      </c>
      <c r="AG74" s="21" t="s">
        <v>1252</v>
      </c>
      <c r="AH74" s="21" t="s">
        <v>1253</v>
      </c>
    </row>
    <row r="75" spans="1:36" x14ac:dyDescent="0.35">
      <c r="A75" s="21">
        <v>74</v>
      </c>
      <c r="B75" s="20">
        <f>_xlfn.XLOOKUP(C75, csl_deposits!B:B, csl_deposits!A:A, "NA", 0,1)</f>
        <v>30</v>
      </c>
      <c r="C75" s="21" t="s">
        <v>660</v>
      </c>
      <c r="E75" s="21" t="s">
        <v>1184</v>
      </c>
      <c r="F75" s="21" t="s">
        <v>1254</v>
      </c>
      <c r="G75" s="21" t="s">
        <v>0</v>
      </c>
      <c r="H75" s="21" t="s">
        <v>1022</v>
      </c>
      <c r="I75" s="21" t="s">
        <v>28</v>
      </c>
      <c r="J75" s="21" t="s">
        <v>0</v>
      </c>
      <c r="K75" s="21" t="s">
        <v>1198</v>
      </c>
      <c r="L75" s="21">
        <v>566.9</v>
      </c>
      <c r="M75" s="21">
        <v>3.5</v>
      </c>
      <c r="N75" s="21" t="s">
        <v>1007</v>
      </c>
      <c r="O75" s="21" t="s">
        <v>1199</v>
      </c>
      <c r="R75" s="22"/>
      <c r="AB75" s="21" t="s">
        <v>1078</v>
      </c>
      <c r="AF75" s="21" t="s">
        <v>1255</v>
      </c>
      <c r="AG75" s="21" t="s">
        <v>1252</v>
      </c>
      <c r="AH75" s="21" t="s">
        <v>463</v>
      </c>
      <c r="AI75" s="21" t="s">
        <v>29</v>
      </c>
      <c r="AJ75" s="21" t="s">
        <v>455</v>
      </c>
    </row>
    <row r="76" spans="1:36" x14ac:dyDescent="0.35">
      <c r="A76" s="21">
        <v>75</v>
      </c>
      <c r="B76" s="20">
        <f>_xlfn.XLOOKUP(C76, csl_deposits!B:B, csl_deposits!A:A, "NA", 0,1)</f>
        <v>30</v>
      </c>
      <c r="C76" s="21" t="s">
        <v>660</v>
      </c>
      <c r="D76" s="21" t="s">
        <v>165</v>
      </c>
      <c r="E76" s="21" t="s">
        <v>1184</v>
      </c>
      <c r="F76" s="21" t="s">
        <v>1257</v>
      </c>
      <c r="G76" s="21" t="s">
        <v>0</v>
      </c>
      <c r="H76" s="21" t="s">
        <v>1185</v>
      </c>
      <c r="I76" s="21" t="s">
        <v>166</v>
      </c>
      <c r="J76" s="21" t="s">
        <v>13</v>
      </c>
      <c r="K76" s="21" t="s">
        <v>7</v>
      </c>
      <c r="L76" s="21">
        <v>615</v>
      </c>
      <c r="M76" s="21">
        <v>6</v>
      </c>
      <c r="P76" s="21" t="s">
        <v>71</v>
      </c>
      <c r="Q76" s="21" t="s">
        <v>9</v>
      </c>
      <c r="R76" s="22"/>
      <c r="S76" s="21">
        <v>615</v>
      </c>
      <c r="T76" s="21">
        <v>6</v>
      </c>
      <c r="W76" s="21">
        <v>1.4</v>
      </c>
      <c r="X76" s="21" t="s">
        <v>1256</v>
      </c>
      <c r="Z76" s="21" t="s">
        <v>167</v>
      </c>
      <c r="AB76" s="21" t="s">
        <v>168</v>
      </c>
      <c r="AG76" s="21" t="s">
        <v>169</v>
      </c>
    </row>
    <row r="77" spans="1:36" x14ac:dyDescent="0.35">
      <c r="A77" s="21">
        <v>76</v>
      </c>
      <c r="B77" s="20">
        <f>_xlfn.XLOOKUP(C77, csl_deposits!B:B, csl_deposits!A:A, "NA", 0,1)</f>
        <v>30</v>
      </c>
      <c r="C77" s="21" t="s">
        <v>660</v>
      </c>
      <c r="D77" s="21" t="s">
        <v>1568</v>
      </c>
      <c r="E77" s="21" t="s">
        <v>1188</v>
      </c>
      <c r="F77" s="21" t="s">
        <v>1571</v>
      </c>
      <c r="G77" s="21" t="s">
        <v>0</v>
      </c>
      <c r="H77" s="21" t="s">
        <v>1185</v>
      </c>
      <c r="I77" s="21" t="s">
        <v>24</v>
      </c>
      <c r="J77" s="21" t="s">
        <v>0</v>
      </c>
      <c r="K77" s="21" t="s">
        <v>7</v>
      </c>
      <c r="L77" s="21">
        <v>591.29999999999995</v>
      </c>
      <c r="M77" s="21">
        <v>3.2</v>
      </c>
      <c r="P77" s="21" t="s">
        <v>14</v>
      </c>
      <c r="Q77" s="21" t="s">
        <v>25</v>
      </c>
      <c r="R77" s="22"/>
      <c r="S77" s="21">
        <v>591.29999999999995</v>
      </c>
      <c r="T77" s="21">
        <v>3.2</v>
      </c>
      <c r="W77" s="21">
        <v>0.6</v>
      </c>
      <c r="X77" s="21" t="s">
        <v>1572</v>
      </c>
      <c r="AB77" s="21" t="s">
        <v>521</v>
      </c>
      <c r="AG77" s="21" t="s">
        <v>1569</v>
      </c>
    </row>
    <row r="78" spans="1:36" x14ac:dyDescent="0.35">
      <c r="A78" s="21">
        <v>77</v>
      </c>
      <c r="B78" s="20">
        <f>_xlfn.XLOOKUP(C78, csl_deposits!B:B, csl_deposits!A:A, "NA", 0,1)</f>
        <v>32</v>
      </c>
      <c r="C78" s="21" t="s">
        <v>671</v>
      </c>
      <c r="E78" s="21" t="s">
        <v>1190</v>
      </c>
      <c r="F78" s="21" t="s">
        <v>1258</v>
      </c>
      <c r="G78" s="21" t="s">
        <v>1</v>
      </c>
      <c r="H78" s="21" t="s">
        <v>1191</v>
      </c>
      <c r="I78" s="21" t="s">
        <v>79</v>
      </c>
      <c r="J78" s="21" t="s">
        <v>1</v>
      </c>
      <c r="L78" s="21">
        <v>538.79999999999995</v>
      </c>
      <c r="Z78" s="21" t="s">
        <v>987</v>
      </c>
      <c r="AB78" s="21" t="s">
        <v>988</v>
      </c>
      <c r="AD78" s="21" t="s">
        <v>989</v>
      </c>
      <c r="AG78" s="21" t="s">
        <v>1259</v>
      </c>
    </row>
    <row r="79" spans="1:36" x14ac:dyDescent="0.35">
      <c r="A79" s="21">
        <v>78</v>
      </c>
      <c r="B79" s="20">
        <f>_xlfn.XLOOKUP(C79, csl_deposits!B:B, csl_deposits!A:A, "NA", 0,1)</f>
        <v>33</v>
      </c>
      <c r="C79" s="21" t="s">
        <v>678</v>
      </c>
      <c r="D79" s="21" t="s">
        <v>176</v>
      </c>
      <c r="E79" s="21" t="s">
        <v>1190</v>
      </c>
      <c r="F79" s="21" t="s">
        <v>1026</v>
      </c>
      <c r="G79" s="21" t="s">
        <v>1</v>
      </c>
      <c r="H79" s="21" t="s">
        <v>1185</v>
      </c>
      <c r="I79" s="21" t="s">
        <v>177</v>
      </c>
      <c r="J79" s="21" t="s">
        <v>13</v>
      </c>
      <c r="K79" s="21" t="s">
        <v>7</v>
      </c>
      <c r="L79" s="23">
        <v>555.13</v>
      </c>
      <c r="M79" s="23">
        <v>0.31</v>
      </c>
      <c r="P79" s="21" t="s">
        <v>32</v>
      </c>
      <c r="Q79" s="21" t="s">
        <v>9</v>
      </c>
      <c r="R79" s="22"/>
      <c r="S79" s="23">
        <v>555.13</v>
      </c>
      <c r="T79" s="23">
        <v>0.31</v>
      </c>
      <c r="W79" s="21">
        <v>2.56</v>
      </c>
      <c r="X79" s="21" t="s">
        <v>1023</v>
      </c>
      <c r="Y79" s="22" t="s">
        <v>178</v>
      </c>
      <c r="Z79" s="21" t="s">
        <v>179</v>
      </c>
      <c r="AA79" s="21" t="s">
        <v>180</v>
      </c>
      <c r="AB79" s="22" t="s">
        <v>181</v>
      </c>
      <c r="AG79" s="21" t="s">
        <v>35</v>
      </c>
    </row>
    <row r="80" spans="1:36" x14ac:dyDescent="0.35">
      <c r="A80" s="21">
        <v>79</v>
      </c>
      <c r="B80" s="20">
        <f>_xlfn.XLOOKUP(C80, csl_deposits!B:B, csl_deposits!A:A, "NA", 0,1)</f>
        <v>33</v>
      </c>
      <c r="C80" s="21" t="s">
        <v>678</v>
      </c>
      <c r="D80" s="21" t="s">
        <v>182</v>
      </c>
      <c r="E80" s="21" t="s">
        <v>1190</v>
      </c>
      <c r="F80" s="21" t="s">
        <v>1027</v>
      </c>
      <c r="G80" s="21" t="s">
        <v>1</v>
      </c>
      <c r="H80" s="21" t="s">
        <v>1185</v>
      </c>
      <c r="I80" s="21" t="s">
        <v>177</v>
      </c>
      <c r="J80" s="21" t="s">
        <v>13</v>
      </c>
      <c r="K80" s="21" t="s">
        <v>7</v>
      </c>
      <c r="L80" s="23">
        <v>554.5</v>
      </c>
      <c r="M80" s="23">
        <v>0.26</v>
      </c>
      <c r="P80" s="21" t="s">
        <v>32</v>
      </c>
      <c r="Q80" s="21" t="s">
        <v>9</v>
      </c>
      <c r="R80" s="22"/>
      <c r="S80" s="23">
        <v>554.5</v>
      </c>
      <c r="T80" s="23">
        <v>0.26</v>
      </c>
      <c r="W80" s="21">
        <v>0.82</v>
      </c>
      <c r="X80" s="21" t="s">
        <v>1023</v>
      </c>
      <c r="Y80" s="22" t="s">
        <v>183</v>
      </c>
      <c r="Z80" s="21" t="s">
        <v>179</v>
      </c>
      <c r="AA80" s="21" t="s">
        <v>180</v>
      </c>
      <c r="AB80" s="22" t="s">
        <v>181</v>
      </c>
      <c r="AG80" s="21" t="s">
        <v>35</v>
      </c>
    </row>
    <row r="81" spans="1:34" x14ac:dyDescent="0.35">
      <c r="A81" s="21">
        <v>80</v>
      </c>
      <c r="B81" s="20">
        <f>_xlfn.XLOOKUP(C81, csl_deposits!B:B, csl_deposits!A:A, "NA", 0,1)</f>
        <v>33</v>
      </c>
      <c r="C81" s="21" t="s">
        <v>678</v>
      </c>
      <c r="D81" s="21" t="s">
        <v>184</v>
      </c>
      <c r="E81" s="21" t="s">
        <v>1190</v>
      </c>
      <c r="F81" s="21" t="s">
        <v>1028</v>
      </c>
      <c r="G81" s="21" t="s">
        <v>1</v>
      </c>
      <c r="H81" s="21" t="s">
        <v>1185</v>
      </c>
      <c r="I81" s="21" t="s">
        <v>177</v>
      </c>
      <c r="J81" s="21" t="s">
        <v>13</v>
      </c>
      <c r="K81" s="21" t="s">
        <v>7</v>
      </c>
      <c r="L81" s="23">
        <v>556.15</v>
      </c>
      <c r="M81" s="23">
        <v>0.09</v>
      </c>
      <c r="P81" s="21" t="s">
        <v>32</v>
      </c>
      <c r="Q81" s="21" t="s">
        <v>9</v>
      </c>
      <c r="R81" s="22"/>
      <c r="S81" s="23">
        <v>556.15</v>
      </c>
      <c r="T81" s="23">
        <v>0.09</v>
      </c>
      <c r="W81" s="21">
        <v>1.71</v>
      </c>
      <c r="X81" s="21" t="s">
        <v>1029</v>
      </c>
      <c r="Y81" s="22" t="s">
        <v>185</v>
      </c>
      <c r="Z81" s="21" t="s">
        <v>179</v>
      </c>
      <c r="AA81" s="21" t="s">
        <v>180</v>
      </c>
      <c r="AB81" s="22" t="s">
        <v>181</v>
      </c>
      <c r="AC81" s="21" t="s">
        <v>186</v>
      </c>
      <c r="AG81" s="21" t="s">
        <v>35</v>
      </c>
    </row>
    <row r="82" spans="1:34" x14ac:dyDescent="0.35">
      <c r="A82" s="21">
        <v>81</v>
      </c>
      <c r="B82" s="20">
        <f>_xlfn.XLOOKUP(C82, csl_deposits!B:B, csl_deposits!A:A, "NA", 0,1)</f>
        <v>33</v>
      </c>
      <c r="C82" s="21" t="s">
        <v>678</v>
      </c>
      <c r="D82" s="21" t="s">
        <v>187</v>
      </c>
      <c r="E82" s="21" t="s">
        <v>1190</v>
      </c>
      <c r="F82" s="22"/>
      <c r="H82" s="21" t="s">
        <v>1185</v>
      </c>
      <c r="I82" s="21" t="s">
        <v>188</v>
      </c>
      <c r="J82" s="21" t="s">
        <v>0</v>
      </c>
      <c r="K82" s="21" t="s">
        <v>7</v>
      </c>
      <c r="L82" s="23">
        <v>557.12</v>
      </c>
      <c r="M82" s="23">
        <v>0.41</v>
      </c>
      <c r="P82" s="21" t="s">
        <v>32</v>
      </c>
      <c r="Q82" s="21" t="s">
        <v>25</v>
      </c>
      <c r="R82" s="22"/>
      <c r="S82" s="23">
        <v>557.12</v>
      </c>
      <c r="T82" s="23">
        <v>0.41</v>
      </c>
      <c r="W82" s="21">
        <v>2.62</v>
      </c>
      <c r="X82" s="21" t="s">
        <v>1030</v>
      </c>
      <c r="Y82" s="22" t="s">
        <v>189</v>
      </c>
      <c r="Z82" s="21" t="s">
        <v>179</v>
      </c>
      <c r="AA82" s="21" t="s">
        <v>180</v>
      </c>
      <c r="AB82" s="22" t="s">
        <v>190</v>
      </c>
      <c r="AC82" s="21" t="s">
        <v>191</v>
      </c>
      <c r="AG82" s="21" t="s">
        <v>35</v>
      </c>
    </row>
    <row r="83" spans="1:34" x14ac:dyDescent="0.35">
      <c r="A83" s="21">
        <v>82</v>
      </c>
      <c r="B83" s="20">
        <f>_xlfn.XLOOKUP(C83, csl_deposits!B:B, csl_deposits!A:A, "NA", 0,1)</f>
        <v>33</v>
      </c>
      <c r="C83" s="21" t="s">
        <v>678</v>
      </c>
      <c r="D83" s="21" t="s">
        <v>198</v>
      </c>
      <c r="E83" s="21" t="s">
        <v>1190</v>
      </c>
      <c r="F83" s="22"/>
      <c r="H83" s="21" t="s">
        <v>1185</v>
      </c>
      <c r="I83" s="21" t="s">
        <v>199</v>
      </c>
      <c r="J83" s="21" t="s">
        <v>0</v>
      </c>
      <c r="K83" s="21" t="s">
        <v>7</v>
      </c>
      <c r="L83" s="23">
        <v>551</v>
      </c>
      <c r="M83" s="23">
        <v>13</v>
      </c>
      <c r="P83" s="21" t="s">
        <v>14</v>
      </c>
      <c r="Q83" s="21" t="s">
        <v>25</v>
      </c>
      <c r="S83" s="23">
        <v>551</v>
      </c>
      <c r="T83" s="23">
        <v>13</v>
      </c>
      <c r="W83" s="21">
        <v>0.53</v>
      </c>
      <c r="X83" s="21" t="s">
        <v>1260</v>
      </c>
      <c r="Y83" s="21" t="s">
        <v>185</v>
      </c>
      <c r="Z83" s="21" t="s">
        <v>179</v>
      </c>
      <c r="AA83" s="21" t="s">
        <v>180</v>
      </c>
      <c r="AB83" s="22" t="s">
        <v>181</v>
      </c>
      <c r="AC83" s="21" t="s">
        <v>200</v>
      </c>
      <c r="AG83" s="21" t="s">
        <v>201</v>
      </c>
    </row>
    <row r="84" spans="1:34" x14ac:dyDescent="0.35">
      <c r="A84" s="21">
        <v>83</v>
      </c>
      <c r="B84" s="20">
        <f>_xlfn.XLOOKUP(C84, csl_deposits!B:B, csl_deposits!A:A, "NA", 0,1)</f>
        <v>33</v>
      </c>
      <c r="C84" s="21" t="s">
        <v>678</v>
      </c>
      <c r="D84" s="21" t="s">
        <v>30</v>
      </c>
      <c r="E84" s="21" t="s">
        <v>1184</v>
      </c>
      <c r="F84" s="22"/>
      <c r="G84" s="21" t="s">
        <v>0</v>
      </c>
      <c r="H84" s="21" t="s">
        <v>1185</v>
      </c>
      <c r="I84" s="21" t="s">
        <v>31</v>
      </c>
      <c r="J84" s="21" t="s">
        <v>13</v>
      </c>
      <c r="K84" s="21" t="s">
        <v>7</v>
      </c>
      <c r="L84" s="23">
        <v>569.36</v>
      </c>
      <c r="M84" s="23">
        <v>0.28999999999999998</v>
      </c>
      <c r="P84" s="21" t="s">
        <v>32</v>
      </c>
      <c r="Q84" s="21" t="s">
        <v>9</v>
      </c>
      <c r="R84" s="22"/>
      <c r="S84" s="23">
        <v>569.36</v>
      </c>
      <c r="T84" s="23">
        <v>0.28999999999999998</v>
      </c>
      <c r="W84" s="21">
        <v>0.05</v>
      </c>
      <c r="X84" s="21" t="s">
        <v>1025</v>
      </c>
      <c r="Y84" s="22" t="s">
        <v>175</v>
      </c>
      <c r="Z84" s="21" t="s">
        <v>33</v>
      </c>
      <c r="AB84" s="22" t="s">
        <v>34</v>
      </c>
      <c r="AG84" s="21" t="s">
        <v>35</v>
      </c>
    </row>
    <row r="85" spans="1:34" x14ac:dyDescent="0.35">
      <c r="A85" s="21">
        <v>84</v>
      </c>
      <c r="B85" s="20">
        <f>_xlfn.XLOOKUP(C85, csl_deposits!B:B, csl_deposits!A:A, "NA", 0,1)</f>
        <v>33</v>
      </c>
      <c r="C85" s="21" t="s">
        <v>678</v>
      </c>
      <c r="D85" s="21" t="s">
        <v>38</v>
      </c>
      <c r="E85" s="21" t="s">
        <v>1184</v>
      </c>
      <c r="F85" s="22"/>
      <c r="G85" s="21" t="s">
        <v>0</v>
      </c>
      <c r="H85" s="21" t="s">
        <v>1185</v>
      </c>
      <c r="I85" s="21" t="s">
        <v>31</v>
      </c>
      <c r="J85" s="21" t="s">
        <v>13</v>
      </c>
      <c r="K85" s="21" t="s">
        <v>7</v>
      </c>
      <c r="L85" s="23">
        <v>569.4</v>
      </c>
      <c r="M85" s="23">
        <v>0.12</v>
      </c>
      <c r="P85" s="21" t="s">
        <v>32</v>
      </c>
      <c r="Q85" s="21" t="s">
        <v>9</v>
      </c>
      <c r="R85" s="22"/>
      <c r="S85" s="23">
        <v>569.4</v>
      </c>
      <c r="T85" s="23">
        <v>0.12</v>
      </c>
      <c r="W85" s="21">
        <v>1.35</v>
      </c>
      <c r="X85" s="21" t="s">
        <v>1025</v>
      </c>
      <c r="Y85" s="22" t="s">
        <v>175</v>
      </c>
      <c r="Z85" s="21" t="s">
        <v>33</v>
      </c>
      <c r="AB85" s="22" t="s">
        <v>34</v>
      </c>
      <c r="AG85" s="21" t="s">
        <v>35</v>
      </c>
    </row>
    <row r="86" spans="1:34" x14ac:dyDescent="0.35">
      <c r="A86" s="21">
        <v>85</v>
      </c>
      <c r="B86" s="20">
        <f>_xlfn.XLOOKUP(C86, csl_deposits!B:B, csl_deposits!A:A, "NA", 0,1)</f>
        <v>33</v>
      </c>
      <c r="C86" s="21" t="s">
        <v>678</v>
      </c>
      <c r="D86" s="21" t="s">
        <v>196</v>
      </c>
      <c r="E86" s="21" t="s">
        <v>1184</v>
      </c>
      <c r="F86" s="22"/>
      <c r="G86" s="21" t="s">
        <v>0</v>
      </c>
      <c r="H86" s="21" t="s">
        <v>1185</v>
      </c>
      <c r="I86" s="21" t="s">
        <v>31</v>
      </c>
      <c r="J86" s="21" t="s">
        <v>13</v>
      </c>
      <c r="K86" s="21" t="s">
        <v>7</v>
      </c>
      <c r="L86" s="23">
        <v>569.59</v>
      </c>
      <c r="M86" s="23">
        <v>0.05</v>
      </c>
      <c r="P86" s="21" t="s">
        <v>32</v>
      </c>
      <c r="Q86" s="21" t="s">
        <v>9</v>
      </c>
      <c r="R86" s="22"/>
      <c r="S86" s="23">
        <v>569.59</v>
      </c>
      <c r="T86" s="23">
        <v>0.05</v>
      </c>
      <c r="W86" s="21">
        <v>2.06</v>
      </c>
      <c r="X86" s="21" t="s">
        <v>1032</v>
      </c>
      <c r="Y86" s="22"/>
      <c r="Z86" s="21" t="s">
        <v>33</v>
      </c>
      <c r="AB86" s="22" t="s">
        <v>197</v>
      </c>
      <c r="AG86" s="21" t="s">
        <v>35</v>
      </c>
    </row>
    <row r="87" spans="1:34" x14ac:dyDescent="0.35">
      <c r="A87" s="21">
        <v>86</v>
      </c>
      <c r="B87" s="20">
        <f>_xlfn.XLOOKUP(C87, csl_deposits!B:B, csl_deposits!A:A, "NA", 0,1)</f>
        <v>33</v>
      </c>
      <c r="C87" s="21" t="s">
        <v>678</v>
      </c>
      <c r="D87" s="21" t="s">
        <v>170</v>
      </c>
      <c r="E87" s="21" t="s">
        <v>1188</v>
      </c>
      <c r="F87" s="22"/>
      <c r="G87" s="21" t="s">
        <v>0</v>
      </c>
      <c r="H87" s="21" t="s">
        <v>1185</v>
      </c>
      <c r="I87" s="21" t="s">
        <v>172</v>
      </c>
      <c r="J87" s="21" t="s">
        <v>0</v>
      </c>
      <c r="K87" s="21" t="s">
        <v>7</v>
      </c>
      <c r="L87" s="23">
        <v>569.89</v>
      </c>
      <c r="M87" s="23">
        <v>0.17</v>
      </c>
      <c r="P87" s="21" t="s">
        <v>32</v>
      </c>
      <c r="Q87" s="21" t="s">
        <v>25</v>
      </c>
      <c r="R87" s="22"/>
      <c r="S87" s="23">
        <v>569.89</v>
      </c>
      <c r="T87" s="23">
        <v>0.17</v>
      </c>
      <c r="W87" s="21">
        <v>0.21</v>
      </c>
      <c r="X87" s="21" t="s">
        <v>1024</v>
      </c>
      <c r="Y87" s="22" t="s">
        <v>173</v>
      </c>
      <c r="Z87" s="21" t="s">
        <v>33</v>
      </c>
      <c r="AB87" s="22" t="s">
        <v>174</v>
      </c>
      <c r="AG87" s="21" t="s">
        <v>35</v>
      </c>
    </row>
    <row r="88" spans="1:34" x14ac:dyDescent="0.35">
      <c r="A88" s="21">
        <v>87</v>
      </c>
      <c r="B88" s="20">
        <f>_xlfn.XLOOKUP(C88, csl_deposits!B:B, csl_deposits!A:A, "NA", 0,1)</f>
        <v>33</v>
      </c>
      <c r="C88" s="21" t="s">
        <v>678</v>
      </c>
      <c r="D88" s="21" t="s">
        <v>192</v>
      </c>
      <c r="E88" s="21" t="s">
        <v>1188</v>
      </c>
      <c r="F88" s="22"/>
      <c r="G88" s="21" t="s">
        <v>0</v>
      </c>
      <c r="H88" s="21" t="s">
        <v>1185</v>
      </c>
      <c r="I88" s="21" t="s">
        <v>172</v>
      </c>
      <c r="J88" s="21" t="s">
        <v>0</v>
      </c>
      <c r="K88" s="21" t="s">
        <v>7</v>
      </c>
      <c r="L88" s="23">
        <v>566.74</v>
      </c>
      <c r="M88" s="23">
        <v>0.12</v>
      </c>
      <c r="P88" s="21" t="s">
        <v>32</v>
      </c>
      <c r="Q88" s="21" t="s">
        <v>25</v>
      </c>
      <c r="R88" s="22"/>
      <c r="S88" s="23">
        <v>566.74</v>
      </c>
      <c r="T88" s="23">
        <v>0.12</v>
      </c>
      <c r="W88" s="21">
        <v>2.2400000000000002</v>
      </c>
      <c r="X88" s="21" t="s">
        <v>1031</v>
      </c>
      <c r="Y88" s="22" t="s">
        <v>193</v>
      </c>
      <c r="Z88" s="21" t="s">
        <v>179</v>
      </c>
      <c r="AA88" s="21" t="s">
        <v>194</v>
      </c>
      <c r="AB88" s="22" t="s">
        <v>195</v>
      </c>
      <c r="AG88" s="21" t="s">
        <v>35</v>
      </c>
    </row>
    <row r="89" spans="1:34" x14ac:dyDescent="0.35">
      <c r="A89" s="21">
        <v>88</v>
      </c>
      <c r="B89" s="20">
        <f>_xlfn.XLOOKUP(C89, csl_deposits!B:B, csl_deposits!A:A, "NA", 0,1)</f>
        <v>33</v>
      </c>
      <c r="C89" s="21" t="s">
        <v>678</v>
      </c>
      <c r="D89" s="21" t="s">
        <v>202</v>
      </c>
      <c r="E89" s="21" t="s">
        <v>1188</v>
      </c>
      <c r="F89" s="22"/>
      <c r="G89" s="21" t="s">
        <v>0</v>
      </c>
      <c r="H89" s="21" t="s">
        <v>1185</v>
      </c>
      <c r="I89" s="21" t="s">
        <v>61</v>
      </c>
      <c r="J89" s="21" t="s">
        <v>0</v>
      </c>
      <c r="K89" s="21" t="s">
        <v>7</v>
      </c>
      <c r="L89" s="23">
        <v>575</v>
      </c>
      <c r="M89" s="23">
        <v>7</v>
      </c>
      <c r="P89" s="21" t="s">
        <v>14</v>
      </c>
      <c r="Q89" s="21" t="s">
        <v>25</v>
      </c>
      <c r="S89" s="23">
        <v>575</v>
      </c>
      <c r="T89" s="23">
        <v>7</v>
      </c>
      <c r="W89" s="21">
        <v>0.16</v>
      </c>
      <c r="X89" s="21" t="s">
        <v>1261</v>
      </c>
      <c r="Y89" s="22" t="s">
        <v>203</v>
      </c>
      <c r="Z89" s="21" t="s">
        <v>33</v>
      </c>
      <c r="AA89" s="21" t="s">
        <v>33</v>
      </c>
      <c r="AB89" s="22" t="s">
        <v>204</v>
      </c>
      <c r="AG89" s="21" t="s">
        <v>201</v>
      </c>
    </row>
    <row r="90" spans="1:34" x14ac:dyDescent="0.35">
      <c r="A90" s="21">
        <v>89</v>
      </c>
      <c r="B90" s="20">
        <f>_xlfn.XLOOKUP(C90, csl_deposits!B:B, csl_deposits!A:A, "NA", 0,1)</f>
        <v>33</v>
      </c>
      <c r="C90" s="21" t="s">
        <v>678</v>
      </c>
      <c r="D90" s="21" t="s">
        <v>205</v>
      </c>
      <c r="E90" s="21" t="s">
        <v>1188</v>
      </c>
      <c r="F90" s="22"/>
      <c r="G90" s="21" t="s">
        <v>0</v>
      </c>
      <c r="H90" s="21" t="s">
        <v>1185</v>
      </c>
      <c r="I90" s="21" t="s">
        <v>61</v>
      </c>
      <c r="J90" s="21" t="s">
        <v>0</v>
      </c>
      <c r="K90" s="21" t="s">
        <v>7</v>
      </c>
      <c r="L90" s="23">
        <v>578</v>
      </c>
      <c r="M90" s="23">
        <v>14</v>
      </c>
      <c r="P90" s="21" t="s">
        <v>14</v>
      </c>
      <c r="Q90" s="21" t="s">
        <v>25</v>
      </c>
      <c r="S90" s="23">
        <v>578</v>
      </c>
      <c r="T90" s="23">
        <v>14</v>
      </c>
      <c r="W90" s="21">
        <v>0.03</v>
      </c>
      <c r="X90" s="21" t="s">
        <v>1261</v>
      </c>
      <c r="Y90" s="22" t="s">
        <v>203</v>
      </c>
      <c r="Z90" s="21" t="s">
        <v>179</v>
      </c>
      <c r="AA90" s="21" t="s">
        <v>180</v>
      </c>
      <c r="AB90" s="22" t="s">
        <v>206</v>
      </c>
      <c r="AG90" s="21" t="s">
        <v>201</v>
      </c>
    </row>
    <row r="91" spans="1:34" x14ac:dyDescent="0.35">
      <c r="A91" s="21">
        <v>90</v>
      </c>
      <c r="B91" s="20">
        <f>_xlfn.XLOOKUP(C91, csl_deposits!B:B, csl_deposits!A:A, "NA", 0,1)</f>
        <v>35</v>
      </c>
      <c r="C91" s="21" t="s">
        <v>685</v>
      </c>
      <c r="D91" s="21" t="s">
        <v>207</v>
      </c>
      <c r="E91" s="21" t="s">
        <v>1190</v>
      </c>
      <c r="F91" s="21" t="s">
        <v>1263</v>
      </c>
      <c r="G91" s="21" t="s">
        <v>1</v>
      </c>
      <c r="H91" s="21" t="s">
        <v>1185</v>
      </c>
      <c r="I91" s="21" t="s">
        <v>208</v>
      </c>
      <c r="J91" s="21" t="s">
        <v>1</v>
      </c>
      <c r="K91" s="21" t="s">
        <v>7</v>
      </c>
      <c r="L91" s="21">
        <v>595</v>
      </c>
      <c r="M91" s="21">
        <v>4</v>
      </c>
      <c r="Q91" s="21" t="s">
        <v>9</v>
      </c>
      <c r="S91" s="21">
        <v>595</v>
      </c>
      <c r="T91" s="21">
        <v>4</v>
      </c>
      <c r="X91" s="21" t="s">
        <v>1262</v>
      </c>
      <c r="Z91" s="21" t="s">
        <v>209</v>
      </c>
      <c r="AE91" s="21" t="s">
        <v>207</v>
      </c>
      <c r="AF91" s="21" t="s">
        <v>1456</v>
      </c>
      <c r="AG91" s="21" t="s">
        <v>210</v>
      </c>
      <c r="AH91" s="21" t="s">
        <v>212</v>
      </c>
    </row>
    <row r="92" spans="1:34" x14ac:dyDescent="0.35">
      <c r="A92" s="21">
        <v>91</v>
      </c>
      <c r="B92" s="20">
        <f>_xlfn.XLOOKUP(C92, csl_deposits!B:B, csl_deposits!A:A, "NA", 0,1)</f>
        <v>35</v>
      </c>
      <c r="C92" s="21" t="s">
        <v>685</v>
      </c>
      <c r="D92" s="21" t="s">
        <v>211</v>
      </c>
      <c r="E92" s="21" t="s">
        <v>1184</v>
      </c>
      <c r="G92" s="21" t="s">
        <v>0</v>
      </c>
      <c r="H92" s="21" t="s">
        <v>1185</v>
      </c>
      <c r="I92" s="21" t="s">
        <v>88</v>
      </c>
      <c r="J92" s="21" t="s">
        <v>13</v>
      </c>
      <c r="K92" s="21" t="s">
        <v>7</v>
      </c>
      <c r="L92" s="21">
        <v>601</v>
      </c>
      <c r="M92" s="21">
        <v>4</v>
      </c>
      <c r="P92" s="21" t="s">
        <v>71</v>
      </c>
      <c r="Q92" s="21" t="s">
        <v>9</v>
      </c>
      <c r="S92" s="21">
        <v>601</v>
      </c>
      <c r="T92" s="21">
        <v>3.7</v>
      </c>
      <c r="W92" s="21">
        <v>0.82</v>
      </c>
      <c r="X92" s="21" t="s">
        <v>1264</v>
      </c>
      <c r="Z92" s="21" t="s">
        <v>209</v>
      </c>
      <c r="AE92" s="21" t="s">
        <v>211</v>
      </c>
      <c r="AF92" s="21" t="s">
        <v>1457</v>
      </c>
      <c r="AG92" s="21" t="s">
        <v>212</v>
      </c>
    </row>
    <row r="93" spans="1:34" x14ac:dyDescent="0.35">
      <c r="A93" s="21">
        <v>92</v>
      </c>
      <c r="B93" s="20">
        <f>_xlfn.XLOOKUP(C93, csl_deposits!B:B, csl_deposits!A:A, "NA", 0,1)</f>
        <v>36</v>
      </c>
      <c r="C93" s="21" t="s">
        <v>693</v>
      </c>
      <c r="D93" s="21" t="s">
        <v>213</v>
      </c>
      <c r="E93" s="21" t="s">
        <v>1184</v>
      </c>
      <c r="F93" s="21" t="s">
        <v>1266</v>
      </c>
      <c r="G93" s="21" t="s">
        <v>0</v>
      </c>
      <c r="H93" s="21" t="s">
        <v>1185</v>
      </c>
      <c r="I93" s="21" t="s">
        <v>214</v>
      </c>
      <c r="J93" s="21" t="s">
        <v>0</v>
      </c>
      <c r="K93" s="21" t="s">
        <v>7</v>
      </c>
      <c r="L93" s="21">
        <v>579</v>
      </c>
      <c r="M93" s="21">
        <v>34</v>
      </c>
      <c r="P93" s="21" t="s">
        <v>71</v>
      </c>
      <c r="Q93" s="21" t="s">
        <v>9</v>
      </c>
      <c r="S93" s="21">
        <v>579</v>
      </c>
      <c r="T93" s="21">
        <v>34</v>
      </c>
      <c r="W93" s="21">
        <v>0.48</v>
      </c>
      <c r="X93" s="21" t="s">
        <v>1265</v>
      </c>
      <c r="Y93" s="22"/>
      <c r="Z93" s="21" t="s">
        <v>215</v>
      </c>
      <c r="AA93" s="21" t="s">
        <v>216</v>
      </c>
      <c r="AE93" s="21" t="s">
        <v>217</v>
      </c>
      <c r="AG93" s="21" t="s">
        <v>218</v>
      </c>
    </row>
    <row r="94" spans="1:34" x14ac:dyDescent="0.35">
      <c r="A94" s="21">
        <v>93</v>
      </c>
      <c r="B94" s="20">
        <f>_xlfn.XLOOKUP(C94, csl_deposits!B:B, csl_deposits!A:A, "NA", 0,1)</f>
        <v>36</v>
      </c>
      <c r="C94" s="21" t="s">
        <v>693</v>
      </c>
      <c r="D94" s="21" t="s">
        <v>219</v>
      </c>
      <c r="E94" s="21" t="s">
        <v>1188</v>
      </c>
      <c r="G94" s="21" t="s">
        <v>0</v>
      </c>
      <c r="H94" s="21" t="s">
        <v>1185</v>
      </c>
      <c r="I94" s="21" t="s">
        <v>115</v>
      </c>
      <c r="J94" s="21" t="s">
        <v>0</v>
      </c>
      <c r="K94" s="21" t="s">
        <v>7</v>
      </c>
      <c r="L94" s="21">
        <v>593</v>
      </c>
      <c r="M94" s="21">
        <v>15</v>
      </c>
      <c r="P94" s="21" t="s">
        <v>71</v>
      </c>
      <c r="Q94" s="21" t="s">
        <v>25</v>
      </c>
      <c r="S94" s="21">
        <v>593</v>
      </c>
      <c r="T94" s="21">
        <v>15</v>
      </c>
      <c r="W94" s="21">
        <v>1.07</v>
      </c>
      <c r="X94" s="21" t="s">
        <v>1267</v>
      </c>
      <c r="Y94" s="22"/>
      <c r="Z94" s="21" t="s">
        <v>215</v>
      </c>
      <c r="AB94" s="21" t="s">
        <v>220</v>
      </c>
      <c r="AE94" s="21" t="s">
        <v>221</v>
      </c>
      <c r="AG94" s="21" t="s">
        <v>218</v>
      </c>
    </row>
    <row r="95" spans="1:34" x14ac:dyDescent="0.35">
      <c r="A95" s="21">
        <v>94</v>
      </c>
      <c r="B95" s="20">
        <f>_xlfn.XLOOKUP(C95, csl_deposits!B:B, csl_deposits!A:A, "NA", 0,1)</f>
        <v>37</v>
      </c>
      <c r="C95" s="21" t="s">
        <v>698</v>
      </c>
      <c r="E95" s="21" t="s">
        <v>1190</v>
      </c>
      <c r="F95" s="21" t="s">
        <v>1268</v>
      </c>
      <c r="G95" s="21" t="s">
        <v>1</v>
      </c>
      <c r="H95" s="21" t="s">
        <v>1208</v>
      </c>
      <c r="J95" s="21" t="s">
        <v>1</v>
      </c>
      <c r="L95" s="21">
        <v>538.79999999999995</v>
      </c>
      <c r="AG95" s="21" t="s">
        <v>1269</v>
      </c>
    </row>
    <row r="96" spans="1:34" x14ac:dyDescent="0.35">
      <c r="A96" s="21">
        <v>95</v>
      </c>
      <c r="B96" s="20">
        <f>_xlfn.XLOOKUP(C96, csl_deposits!B:B, csl_deposits!A:A, "NA", 0,1)</f>
        <v>37</v>
      </c>
      <c r="C96" s="21" t="s">
        <v>698</v>
      </c>
      <c r="E96" s="21" t="s">
        <v>1184</v>
      </c>
      <c r="F96" s="21" t="s">
        <v>1268</v>
      </c>
      <c r="G96" s="21" t="s">
        <v>0</v>
      </c>
      <c r="H96" s="21" t="s">
        <v>1208</v>
      </c>
      <c r="J96" s="21" t="s">
        <v>0</v>
      </c>
      <c r="L96" s="21">
        <v>629</v>
      </c>
      <c r="M96" s="21">
        <v>8</v>
      </c>
      <c r="AG96" s="21" t="s">
        <v>1269</v>
      </c>
    </row>
    <row r="97" spans="1:34" x14ac:dyDescent="0.35">
      <c r="A97" s="21">
        <v>96</v>
      </c>
      <c r="B97" s="20">
        <f>_xlfn.XLOOKUP(C97, csl_deposits!B:B, csl_deposits!A:A, "NA", 0,1)</f>
        <v>38</v>
      </c>
      <c r="C97" s="21" t="s">
        <v>702</v>
      </c>
      <c r="D97" s="21" t="s">
        <v>222</v>
      </c>
      <c r="E97" s="21" t="s">
        <v>1190</v>
      </c>
      <c r="F97" s="25" t="s">
        <v>1270</v>
      </c>
      <c r="G97" s="21" t="s">
        <v>1</v>
      </c>
      <c r="H97" s="21" t="s">
        <v>1185</v>
      </c>
      <c r="I97" s="21" t="s">
        <v>223</v>
      </c>
      <c r="J97" s="21" t="s">
        <v>13</v>
      </c>
      <c r="K97" s="21" t="s">
        <v>7</v>
      </c>
      <c r="L97" s="24">
        <v>574.9</v>
      </c>
      <c r="M97" s="24">
        <v>3</v>
      </c>
      <c r="P97" s="21" t="s">
        <v>14</v>
      </c>
      <c r="Q97" s="21" t="s">
        <v>9</v>
      </c>
      <c r="R97" s="22"/>
      <c r="S97" s="24">
        <v>574.9</v>
      </c>
      <c r="T97" s="24">
        <v>3</v>
      </c>
      <c r="U97" s="25"/>
      <c r="V97" s="25"/>
      <c r="W97" s="25">
        <v>2.1</v>
      </c>
      <c r="X97" s="21" t="s">
        <v>1051</v>
      </c>
      <c r="Z97" s="21" t="s">
        <v>224</v>
      </c>
      <c r="AG97" s="21" t="s">
        <v>225</v>
      </c>
    </row>
    <row r="98" spans="1:34" x14ac:dyDescent="0.35">
      <c r="A98" s="21">
        <v>97</v>
      </c>
      <c r="B98" s="21">
        <v>39</v>
      </c>
      <c r="C98" s="21" t="s">
        <v>702</v>
      </c>
      <c r="D98" s="21" t="s">
        <v>226</v>
      </c>
      <c r="E98" s="21" t="s">
        <v>1190</v>
      </c>
      <c r="F98" s="25" t="s">
        <v>1272</v>
      </c>
      <c r="G98" s="21" t="s">
        <v>1</v>
      </c>
      <c r="H98" s="21" t="s">
        <v>1185</v>
      </c>
      <c r="I98" s="21" t="s">
        <v>84</v>
      </c>
      <c r="J98" s="21" t="s">
        <v>13</v>
      </c>
      <c r="K98" s="21" t="s">
        <v>7</v>
      </c>
      <c r="L98" s="21">
        <v>578.6</v>
      </c>
      <c r="M98" s="21">
        <v>4.8</v>
      </c>
      <c r="P98" s="21" t="s">
        <v>71</v>
      </c>
      <c r="Q98" s="21" t="s">
        <v>9</v>
      </c>
      <c r="S98" s="21">
        <v>578.6</v>
      </c>
      <c r="T98" s="21">
        <v>4.8</v>
      </c>
      <c r="U98" s="25"/>
      <c r="V98" s="25"/>
      <c r="W98" s="25">
        <v>3.1E-2</v>
      </c>
      <c r="X98" s="21" t="s">
        <v>1271</v>
      </c>
      <c r="Z98" s="21" t="s">
        <v>224</v>
      </c>
      <c r="AG98" s="21" t="s">
        <v>227</v>
      </c>
    </row>
    <row r="99" spans="1:34" x14ac:dyDescent="0.35">
      <c r="A99" s="21">
        <v>98</v>
      </c>
      <c r="B99" s="20">
        <f>_xlfn.XLOOKUP(C99, csl_deposits!B:B, csl_deposits!A:A, "NA", 0,1)</f>
        <v>38</v>
      </c>
      <c r="C99" s="21" t="s">
        <v>702</v>
      </c>
      <c r="D99" s="21" t="s">
        <v>228</v>
      </c>
      <c r="E99" s="21" t="s">
        <v>1184</v>
      </c>
      <c r="F99" s="25" t="s">
        <v>1273</v>
      </c>
      <c r="G99" s="21" t="s">
        <v>0</v>
      </c>
      <c r="H99" s="21" t="s">
        <v>1185</v>
      </c>
      <c r="I99" s="21" t="s">
        <v>223</v>
      </c>
      <c r="J99" s="21" t="s">
        <v>13</v>
      </c>
      <c r="K99" s="21" t="s">
        <v>7</v>
      </c>
      <c r="L99" s="24">
        <v>593.12</v>
      </c>
      <c r="M99" s="24">
        <v>0.14000000000000001</v>
      </c>
      <c r="P99" s="21" t="s">
        <v>32</v>
      </c>
      <c r="Q99" s="21" t="s">
        <v>9</v>
      </c>
      <c r="R99" s="22"/>
      <c r="S99" s="24">
        <v>593.12</v>
      </c>
      <c r="T99" s="24">
        <v>0.14000000000000001</v>
      </c>
      <c r="U99" s="25"/>
      <c r="V99" s="25"/>
      <c r="W99" s="25"/>
      <c r="X99" s="21" t="s">
        <v>1049</v>
      </c>
      <c r="AC99" s="21" t="s">
        <v>230</v>
      </c>
      <c r="AG99" s="21" t="s">
        <v>225</v>
      </c>
    </row>
    <row r="100" spans="1:34" x14ac:dyDescent="0.35">
      <c r="A100" s="21">
        <v>99</v>
      </c>
      <c r="B100" s="20">
        <f>_xlfn.XLOOKUP(C100, csl_deposits!B:B, csl_deposits!A:A, "NA", 0,1)</f>
        <v>39</v>
      </c>
      <c r="C100" s="20" t="s">
        <v>708</v>
      </c>
      <c r="E100" s="21" t="s">
        <v>1190</v>
      </c>
      <c r="F100" s="22" t="s">
        <v>1507</v>
      </c>
      <c r="G100" s="21" t="s">
        <v>1</v>
      </c>
      <c r="H100" s="21" t="s">
        <v>1191</v>
      </c>
      <c r="I100" s="21" t="s">
        <v>28</v>
      </c>
      <c r="J100" s="21" t="s">
        <v>1</v>
      </c>
      <c r="L100" s="21">
        <v>538.79999999999995</v>
      </c>
      <c r="S100" s="24"/>
      <c r="T100" s="24"/>
      <c r="Y100" s="22"/>
      <c r="Z100" s="24"/>
      <c r="AA100" s="24"/>
      <c r="AB100" s="25" t="s">
        <v>1508</v>
      </c>
      <c r="AC100" s="25" t="s">
        <v>1509</v>
      </c>
      <c r="AD100" s="25"/>
      <c r="AF100" s="21" t="s">
        <v>1510</v>
      </c>
      <c r="AG100" s="21" t="s">
        <v>234</v>
      </c>
    </row>
    <row r="101" spans="1:34" x14ac:dyDescent="0.35">
      <c r="A101" s="21">
        <v>100</v>
      </c>
      <c r="B101" s="20">
        <f>_xlfn.XLOOKUP(C101, csl_deposits!B:B, csl_deposits!A:A, "NA", 0,1)</f>
        <v>39</v>
      </c>
      <c r="C101" s="21" t="s">
        <v>708</v>
      </c>
      <c r="D101" s="21" t="s">
        <v>236</v>
      </c>
      <c r="E101" s="21" t="s">
        <v>1190</v>
      </c>
      <c r="F101" s="21" t="s">
        <v>1070</v>
      </c>
      <c r="H101" s="21" t="s">
        <v>1185</v>
      </c>
      <c r="I101" s="21" t="s">
        <v>79</v>
      </c>
      <c r="J101" s="21" t="s">
        <v>0</v>
      </c>
      <c r="K101" s="21" t="s">
        <v>7</v>
      </c>
      <c r="L101" s="24">
        <v>550.29999999999995</v>
      </c>
      <c r="M101" s="24">
        <v>3.6</v>
      </c>
      <c r="P101" s="21" t="s">
        <v>14</v>
      </c>
      <c r="Q101" s="21" t="s">
        <v>25</v>
      </c>
      <c r="R101" s="22"/>
      <c r="S101" s="24">
        <v>550.29999999999995</v>
      </c>
      <c r="T101" s="24">
        <v>3.6</v>
      </c>
      <c r="X101" s="21" t="s">
        <v>1071</v>
      </c>
      <c r="AB101" s="21" t="s">
        <v>232</v>
      </c>
      <c r="AD101" s="21" t="s">
        <v>233</v>
      </c>
      <c r="AG101" s="21" t="s">
        <v>234</v>
      </c>
    </row>
    <row r="102" spans="1:34" x14ac:dyDescent="0.35">
      <c r="A102" s="21">
        <v>101</v>
      </c>
      <c r="B102" s="20">
        <f>_xlfn.XLOOKUP(C102, csl_deposits!B:B, csl_deposits!A:A, "NA", 0,1)</f>
        <v>39</v>
      </c>
      <c r="C102" s="21" t="s">
        <v>708</v>
      </c>
      <c r="D102" s="21" t="s">
        <v>237</v>
      </c>
      <c r="E102" s="21" t="s">
        <v>1190</v>
      </c>
      <c r="F102" s="21" t="s">
        <v>1070</v>
      </c>
      <c r="H102" s="21" t="s">
        <v>1185</v>
      </c>
      <c r="I102" s="21" t="s">
        <v>79</v>
      </c>
      <c r="J102" s="21" t="s">
        <v>0</v>
      </c>
      <c r="K102" s="21" t="s">
        <v>7</v>
      </c>
      <c r="L102" s="24">
        <v>571.29999999999995</v>
      </c>
      <c r="M102" s="24">
        <v>12.3</v>
      </c>
      <c r="P102" s="21" t="s">
        <v>14</v>
      </c>
      <c r="Q102" s="21" t="s">
        <v>25</v>
      </c>
      <c r="R102" s="22"/>
      <c r="S102" s="24">
        <v>571.29999999999995</v>
      </c>
      <c r="T102" s="24">
        <v>12.3</v>
      </c>
      <c r="X102" s="21" t="s">
        <v>1071</v>
      </c>
      <c r="AB102" s="21" t="s">
        <v>232</v>
      </c>
      <c r="AD102" s="21" t="s">
        <v>233</v>
      </c>
      <c r="AG102" s="21" t="s">
        <v>234</v>
      </c>
    </row>
    <row r="103" spans="1:34" x14ac:dyDescent="0.35">
      <c r="A103" s="21">
        <v>102</v>
      </c>
      <c r="B103" s="20">
        <f>_xlfn.XLOOKUP(C103, csl_deposits!B:B, csl_deposits!A:A, "NA", 0,1)</f>
        <v>39</v>
      </c>
      <c r="C103" s="21" t="s">
        <v>708</v>
      </c>
      <c r="D103" s="21" t="s">
        <v>231</v>
      </c>
      <c r="E103" s="21" t="s">
        <v>1184</v>
      </c>
      <c r="F103" s="21" t="s">
        <v>1070</v>
      </c>
      <c r="G103" s="21" t="s">
        <v>0</v>
      </c>
      <c r="H103" s="21" t="s">
        <v>1185</v>
      </c>
      <c r="I103" s="21" t="s">
        <v>79</v>
      </c>
      <c r="J103" s="21" t="s">
        <v>0</v>
      </c>
      <c r="K103" s="21" t="s">
        <v>7</v>
      </c>
      <c r="L103" s="24">
        <v>562</v>
      </c>
      <c r="M103" s="24">
        <v>11.3</v>
      </c>
      <c r="P103" s="21" t="s">
        <v>14</v>
      </c>
      <c r="Q103" s="21" t="s">
        <v>25</v>
      </c>
      <c r="R103" s="22"/>
      <c r="S103" s="24">
        <v>562</v>
      </c>
      <c r="T103" s="24">
        <v>11.3</v>
      </c>
      <c r="X103" s="21" t="s">
        <v>1071</v>
      </c>
      <c r="AB103" s="21" t="s">
        <v>232</v>
      </c>
      <c r="AD103" s="21" t="s">
        <v>233</v>
      </c>
      <c r="AF103" s="21" t="s">
        <v>922</v>
      </c>
      <c r="AG103" s="21" t="s">
        <v>234</v>
      </c>
    </row>
    <row r="104" spans="1:34" x14ac:dyDescent="0.35">
      <c r="A104" s="21">
        <v>103</v>
      </c>
      <c r="B104" s="20">
        <f>_xlfn.XLOOKUP(C104, csl_deposits!B:B, csl_deposits!A:A, "NA", 0,1)</f>
        <v>39</v>
      </c>
      <c r="C104" s="21" t="s">
        <v>708</v>
      </c>
      <c r="D104" s="21" t="s">
        <v>235</v>
      </c>
      <c r="E104" s="21" t="s">
        <v>1184</v>
      </c>
      <c r="F104" s="21" t="s">
        <v>1070</v>
      </c>
      <c r="G104" s="21" t="s">
        <v>0</v>
      </c>
      <c r="H104" s="21" t="s">
        <v>1185</v>
      </c>
      <c r="I104" s="21" t="s">
        <v>79</v>
      </c>
      <c r="J104" s="21" t="s">
        <v>0</v>
      </c>
      <c r="K104" s="21" t="s">
        <v>7</v>
      </c>
      <c r="L104" s="24">
        <v>563.1</v>
      </c>
      <c r="M104" s="24">
        <v>3.9</v>
      </c>
      <c r="P104" s="21" t="s">
        <v>14</v>
      </c>
      <c r="Q104" s="21" t="s">
        <v>25</v>
      </c>
      <c r="R104" s="22"/>
      <c r="S104" s="24">
        <v>563.1</v>
      </c>
      <c r="T104" s="24">
        <v>3.9</v>
      </c>
      <c r="X104" s="21" t="s">
        <v>1071</v>
      </c>
      <c r="AB104" s="21" t="s">
        <v>232</v>
      </c>
      <c r="AD104" s="21" t="s">
        <v>233</v>
      </c>
      <c r="AG104" s="21" t="s">
        <v>234</v>
      </c>
    </row>
    <row r="105" spans="1:34" x14ac:dyDescent="0.35">
      <c r="A105" s="21">
        <v>104</v>
      </c>
      <c r="B105" s="20">
        <f>_xlfn.XLOOKUP(C105, csl_deposits!B:B, csl_deposits!A:A, "NA", 0,1)</f>
        <v>40</v>
      </c>
      <c r="C105" s="21" t="s">
        <v>714</v>
      </c>
      <c r="E105" s="21" t="s">
        <v>1190</v>
      </c>
      <c r="F105" s="21" t="s">
        <v>1275</v>
      </c>
      <c r="H105" s="21" t="s">
        <v>1022</v>
      </c>
      <c r="I105" s="21" t="s">
        <v>28</v>
      </c>
      <c r="J105" s="21" t="s">
        <v>1</v>
      </c>
      <c r="K105" s="21" t="s">
        <v>1198</v>
      </c>
      <c r="L105" s="24">
        <v>574</v>
      </c>
      <c r="M105" s="24">
        <v>4.7</v>
      </c>
      <c r="N105" s="21" t="s">
        <v>1007</v>
      </c>
      <c r="O105" s="21" t="s">
        <v>1206</v>
      </c>
      <c r="R105" s="22"/>
      <c r="S105" s="24"/>
      <c r="T105" s="24"/>
      <c r="Z105" s="21" t="s">
        <v>241</v>
      </c>
      <c r="AB105" s="21" t="s">
        <v>1076</v>
      </c>
      <c r="AD105" s="21" t="s">
        <v>1276</v>
      </c>
      <c r="AF105" s="21" t="s">
        <v>1277</v>
      </c>
      <c r="AG105" s="21" t="s">
        <v>245</v>
      </c>
    </row>
    <row r="106" spans="1:34" x14ac:dyDescent="0.35">
      <c r="A106" s="21">
        <v>105</v>
      </c>
      <c r="B106" s="20">
        <f>_xlfn.XLOOKUP(C106, csl_deposits!B:B, csl_deposits!A:A, "NA", 0,1)</f>
        <v>40</v>
      </c>
      <c r="C106" s="21" t="s">
        <v>714</v>
      </c>
      <c r="E106" s="21" t="s">
        <v>1190</v>
      </c>
      <c r="F106" s="21" t="s">
        <v>1275</v>
      </c>
      <c r="H106" s="21" t="s">
        <v>1022</v>
      </c>
      <c r="I106" s="21" t="s">
        <v>28</v>
      </c>
      <c r="J106" s="21" t="s">
        <v>1</v>
      </c>
      <c r="K106" s="21" t="s">
        <v>1198</v>
      </c>
      <c r="L106" s="24">
        <v>574</v>
      </c>
      <c r="M106" s="24">
        <v>4.7</v>
      </c>
      <c r="N106" s="21" t="s">
        <v>1007</v>
      </c>
      <c r="O106" s="21" t="s">
        <v>1206</v>
      </c>
      <c r="R106" s="22"/>
      <c r="S106" s="24"/>
      <c r="T106" s="24"/>
      <c r="Z106" s="21" t="s">
        <v>246</v>
      </c>
      <c r="AB106" s="21" t="s">
        <v>1278</v>
      </c>
      <c r="AF106" s="21" t="s">
        <v>1277</v>
      </c>
      <c r="AG106" s="21" t="s">
        <v>245</v>
      </c>
    </row>
    <row r="107" spans="1:34" x14ac:dyDescent="0.35">
      <c r="A107" s="21">
        <v>106</v>
      </c>
      <c r="B107" s="20">
        <f>_xlfn.XLOOKUP(C107, csl_deposits!B:B, csl_deposits!A:A, "NA", 0,1)</f>
        <v>40</v>
      </c>
      <c r="C107" s="21" t="s">
        <v>714</v>
      </c>
      <c r="E107" s="21" t="s">
        <v>1190</v>
      </c>
      <c r="F107" s="21" t="s">
        <v>1275</v>
      </c>
      <c r="H107" s="21" t="s">
        <v>1022</v>
      </c>
      <c r="I107" s="21" t="s">
        <v>28</v>
      </c>
      <c r="J107" s="21" t="s">
        <v>1</v>
      </c>
      <c r="K107" s="21" t="s">
        <v>1198</v>
      </c>
      <c r="L107" s="24">
        <v>574</v>
      </c>
      <c r="M107" s="24">
        <v>4.7</v>
      </c>
      <c r="N107" s="21" t="s">
        <v>1007</v>
      </c>
      <c r="O107" s="21" t="s">
        <v>1206</v>
      </c>
      <c r="R107" s="22"/>
      <c r="S107" s="24"/>
      <c r="T107" s="24"/>
      <c r="Z107" s="21" t="s">
        <v>246</v>
      </c>
      <c r="AB107" s="21" t="s">
        <v>1279</v>
      </c>
      <c r="AF107" s="21" t="s">
        <v>1277</v>
      </c>
      <c r="AG107" s="21" t="s">
        <v>245</v>
      </c>
    </row>
    <row r="108" spans="1:34" x14ac:dyDescent="0.35">
      <c r="A108" s="21">
        <v>107</v>
      </c>
      <c r="B108" s="20">
        <f>_xlfn.XLOOKUP(C108, csl_deposits!B:B, csl_deposits!A:A, "NA", 0,1)</f>
        <v>40</v>
      </c>
      <c r="C108" s="21" t="s">
        <v>714</v>
      </c>
      <c r="D108" s="21" t="s">
        <v>238</v>
      </c>
      <c r="E108" s="21" t="s">
        <v>1190</v>
      </c>
      <c r="F108" s="21" t="s">
        <v>1073</v>
      </c>
      <c r="G108" s="21" t="s">
        <v>1</v>
      </c>
      <c r="H108" s="21" t="s">
        <v>1185</v>
      </c>
      <c r="I108" s="21" t="s">
        <v>88</v>
      </c>
      <c r="J108" s="21" t="s">
        <v>13</v>
      </c>
      <c r="K108" s="21" t="s">
        <v>7</v>
      </c>
      <c r="L108" s="24">
        <v>567.20000000000005</v>
      </c>
      <c r="M108" s="24">
        <v>3.9</v>
      </c>
      <c r="P108" s="21" t="s">
        <v>240</v>
      </c>
      <c r="Q108" s="21" t="s">
        <v>9</v>
      </c>
      <c r="R108" s="22"/>
      <c r="S108" s="24">
        <v>567.20000000000005</v>
      </c>
      <c r="T108" s="24">
        <v>3.9</v>
      </c>
      <c r="W108" s="21">
        <v>1.1399999999999999</v>
      </c>
      <c r="X108" s="21" t="s">
        <v>1074</v>
      </c>
      <c r="Z108" s="21" t="s">
        <v>241</v>
      </c>
      <c r="AB108" s="21" t="s">
        <v>242</v>
      </c>
      <c r="AF108" s="21" t="s">
        <v>1274</v>
      </c>
      <c r="AG108" s="21" t="s">
        <v>243</v>
      </c>
      <c r="AH108" s="21" t="s">
        <v>244</v>
      </c>
    </row>
    <row r="109" spans="1:34" x14ac:dyDescent="0.35">
      <c r="A109" s="21">
        <v>108</v>
      </c>
      <c r="B109" s="20">
        <f>_xlfn.XLOOKUP(C109, csl_deposits!B:B, csl_deposits!A:A, "NA", 0,1)</f>
        <v>40</v>
      </c>
      <c r="C109" s="21" t="s">
        <v>714</v>
      </c>
      <c r="D109" s="21" t="s">
        <v>247</v>
      </c>
      <c r="E109" s="21" t="s">
        <v>1184</v>
      </c>
      <c r="F109" s="21" t="s">
        <v>1073</v>
      </c>
      <c r="G109" s="21" t="s">
        <v>0</v>
      </c>
      <c r="H109" s="21" t="s">
        <v>1185</v>
      </c>
      <c r="I109" s="21" t="s">
        <v>248</v>
      </c>
      <c r="J109" s="21" t="s">
        <v>13</v>
      </c>
      <c r="K109" s="21" t="s">
        <v>7</v>
      </c>
      <c r="L109" s="24">
        <v>598.1</v>
      </c>
      <c r="M109" s="24">
        <v>6</v>
      </c>
      <c r="P109" s="21" t="s">
        <v>14</v>
      </c>
      <c r="Q109" s="21" t="s">
        <v>9</v>
      </c>
      <c r="R109" s="22"/>
      <c r="S109" s="24">
        <v>598.1</v>
      </c>
      <c r="T109" s="24">
        <v>6</v>
      </c>
      <c r="W109" s="21">
        <v>1.3</v>
      </c>
      <c r="X109" s="21" t="s">
        <v>1077</v>
      </c>
      <c r="Z109" s="21" t="s">
        <v>246</v>
      </c>
      <c r="AB109" s="21" t="s">
        <v>249</v>
      </c>
      <c r="AF109" s="21" t="s">
        <v>1274</v>
      </c>
      <c r="AG109" s="21" t="s">
        <v>244</v>
      </c>
    </row>
    <row r="110" spans="1:34" x14ac:dyDescent="0.35">
      <c r="A110" s="21">
        <v>109</v>
      </c>
      <c r="B110" s="20">
        <f>_xlfn.XLOOKUP(C110, csl_deposits!B:B, csl_deposits!A:A, "NA", 0,1)</f>
        <v>41</v>
      </c>
      <c r="C110" s="21" t="s">
        <v>720</v>
      </c>
      <c r="E110" s="21" t="s">
        <v>1190</v>
      </c>
      <c r="F110" s="21" t="s">
        <v>1281</v>
      </c>
      <c r="G110" s="21" t="s">
        <v>1</v>
      </c>
      <c r="H110" s="21" t="s">
        <v>1185</v>
      </c>
      <c r="I110" s="21" t="s">
        <v>250</v>
      </c>
      <c r="J110" s="21" t="s">
        <v>1</v>
      </c>
      <c r="K110" s="21" t="s">
        <v>7</v>
      </c>
      <c r="L110" s="21">
        <v>709.9</v>
      </c>
      <c r="M110" s="21">
        <v>7.3</v>
      </c>
      <c r="P110" s="21" t="s">
        <v>71</v>
      </c>
      <c r="Q110" s="21" t="s">
        <v>9</v>
      </c>
      <c r="S110" s="21">
        <v>709.9</v>
      </c>
      <c r="T110" s="21">
        <v>7.3</v>
      </c>
      <c r="X110" s="21" t="s">
        <v>1280</v>
      </c>
      <c r="Y110" s="22"/>
      <c r="Z110" s="21" t="s">
        <v>251</v>
      </c>
      <c r="AD110" s="21" t="s">
        <v>250</v>
      </c>
      <c r="AF110" s="21" t="s">
        <v>1282</v>
      </c>
      <c r="AG110" s="21" t="s">
        <v>252</v>
      </c>
      <c r="AH110" s="21" t="s">
        <v>245</v>
      </c>
    </row>
    <row r="111" spans="1:34" x14ac:dyDescent="0.35">
      <c r="A111" s="21">
        <v>110</v>
      </c>
      <c r="B111" s="20">
        <f>_xlfn.XLOOKUP(C111, csl_deposits!B:B, csl_deposits!A:A, "NA", 0,1)</f>
        <v>44</v>
      </c>
      <c r="C111" s="21" t="s">
        <v>732</v>
      </c>
      <c r="D111" s="21" t="s">
        <v>253</v>
      </c>
      <c r="E111" s="21" t="s">
        <v>1190</v>
      </c>
      <c r="F111" s="22"/>
      <c r="G111" s="21" t="s">
        <v>1</v>
      </c>
      <c r="H111" s="21" t="s">
        <v>1185</v>
      </c>
      <c r="I111" s="21" t="s">
        <v>255</v>
      </c>
      <c r="J111" s="21" t="s">
        <v>6</v>
      </c>
      <c r="K111" s="21" t="s">
        <v>158</v>
      </c>
      <c r="L111" s="21">
        <v>520</v>
      </c>
      <c r="M111" s="21">
        <v>5</v>
      </c>
      <c r="Q111" s="21" t="s">
        <v>255</v>
      </c>
      <c r="S111" s="21">
        <v>520</v>
      </c>
      <c r="T111" s="21">
        <v>5</v>
      </c>
      <c r="W111" s="21">
        <v>2.403</v>
      </c>
      <c r="X111" s="21" t="s">
        <v>1283</v>
      </c>
      <c r="AB111" s="21" t="s">
        <v>256</v>
      </c>
      <c r="AG111" s="21" t="s">
        <v>257</v>
      </c>
    </row>
    <row r="112" spans="1:34" x14ac:dyDescent="0.35">
      <c r="A112" s="21">
        <v>111</v>
      </c>
      <c r="B112" s="20">
        <f>_xlfn.XLOOKUP(C112, csl_deposits!B:B, csl_deposits!A:A, "NA", 0,1)</f>
        <v>44</v>
      </c>
      <c r="C112" s="21" t="s">
        <v>732</v>
      </c>
      <c r="D112" s="21" t="s">
        <v>258</v>
      </c>
      <c r="E112" s="21" t="s">
        <v>1190</v>
      </c>
      <c r="G112" s="21" t="s">
        <v>1</v>
      </c>
      <c r="H112" s="21" t="s">
        <v>1185</v>
      </c>
      <c r="I112" s="21" t="s">
        <v>255</v>
      </c>
      <c r="J112" s="21" t="s">
        <v>6</v>
      </c>
      <c r="K112" s="21" t="s">
        <v>40</v>
      </c>
      <c r="L112" s="21">
        <v>579</v>
      </c>
      <c r="M112" s="21">
        <v>1.5</v>
      </c>
      <c r="Q112" s="21" t="s">
        <v>255</v>
      </c>
      <c r="S112" s="21">
        <v>579</v>
      </c>
      <c r="T112" s="21">
        <v>1.5</v>
      </c>
      <c r="X112" s="21" t="s">
        <v>1284</v>
      </c>
      <c r="AB112" s="21" t="s">
        <v>259</v>
      </c>
      <c r="AG112" s="21" t="s">
        <v>260</v>
      </c>
    </row>
    <row r="113" spans="1:35" x14ac:dyDescent="0.35">
      <c r="A113" s="21">
        <v>112</v>
      </c>
      <c r="B113" s="20">
        <f>_xlfn.XLOOKUP(C113, csl_deposits!B:B, csl_deposits!A:A, "NA", 0,1)</f>
        <v>44</v>
      </c>
      <c r="C113" s="21" t="s">
        <v>732</v>
      </c>
      <c r="D113" s="21" t="s">
        <v>261</v>
      </c>
      <c r="E113" s="21" t="s">
        <v>1184</v>
      </c>
      <c r="F113" s="21" t="s">
        <v>1286</v>
      </c>
      <c r="G113" s="21" t="s">
        <v>0</v>
      </c>
      <c r="H113" s="21" t="s">
        <v>1185</v>
      </c>
      <c r="I113" s="21" t="s">
        <v>250</v>
      </c>
      <c r="J113" s="21" t="s">
        <v>0</v>
      </c>
      <c r="K113" s="21" t="s">
        <v>7</v>
      </c>
      <c r="L113" s="21">
        <v>590</v>
      </c>
      <c r="M113" s="21">
        <v>2</v>
      </c>
      <c r="P113" s="21" t="s">
        <v>71</v>
      </c>
      <c r="Q113" s="21" t="s">
        <v>9</v>
      </c>
      <c r="S113" s="21">
        <v>590</v>
      </c>
      <c r="T113" s="21">
        <v>2</v>
      </c>
      <c r="W113" s="21">
        <v>1.06</v>
      </c>
      <c r="X113" s="21" t="s">
        <v>1285</v>
      </c>
      <c r="Z113" s="21" t="s">
        <v>263</v>
      </c>
      <c r="AD113" s="21" t="s">
        <v>250</v>
      </c>
      <c r="AG113" s="21" t="s">
        <v>264</v>
      </c>
    </row>
    <row r="114" spans="1:35" x14ac:dyDescent="0.35">
      <c r="A114" s="21">
        <v>113</v>
      </c>
      <c r="B114" s="20">
        <f>_xlfn.XLOOKUP(C114, csl_deposits!B:B, csl_deposits!A:A, "NA", 0,1)</f>
        <v>47</v>
      </c>
      <c r="C114" s="21" t="s">
        <v>746</v>
      </c>
      <c r="D114" s="21" t="s">
        <v>207</v>
      </c>
      <c r="E114" s="21" t="s">
        <v>1190</v>
      </c>
      <c r="F114" s="21" t="s">
        <v>1263</v>
      </c>
      <c r="G114" s="21" t="s">
        <v>1</v>
      </c>
      <c r="H114" s="21" t="s">
        <v>1185</v>
      </c>
      <c r="I114" s="21" t="s">
        <v>208</v>
      </c>
      <c r="J114" s="21" t="s">
        <v>1</v>
      </c>
      <c r="K114" s="21" t="s">
        <v>7</v>
      </c>
      <c r="L114" s="21">
        <v>595</v>
      </c>
      <c r="M114" s="21">
        <v>4</v>
      </c>
      <c r="Q114" s="21" t="s">
        <v>9</v>
      </c>
      <c r="S114" s="21">
        <v>595</v>
      </c>
      <c r="T114" s="21">
        <v>4</v>
      </c>
      <c r="X114" s="21" t="s">
        <v>1262</v>
      </c>
      <c r="Z114" s="21" t="s">
        <v>209</v>
      </c>
      <c r="AE114" s="21" t="s">
        <v>207</v>
      </c>
      <c r="AF114" s="21" t="s">
        <v>1453</v>
      </c>
      <c r="AG114" s="21" t="s">
        <v>210</v>
      </c>
      <c r="AH114" s="21" t="s">
        <v>212</v>
      </c>
    </row>
    <row r="115" spans="1:35" x14ac:dyDescent="0.35">
      <c r="A115" s="21">
        <v>114</v>
      </c>
      <c r="B115" s="20">
        <f>_xlfn.XLOOKUP(C115, csl_deposits!B:B, csl_deposits!A:A, "NA", 0,1)</f>
        <v>47</v>
      </c>
      <c r="C115" s="21" t="s">
        <v>746</v>
      </c>
      <c r="D115" s="21" t="s">
        <v>211</v>
      </c>
      <c r="E115" s="21" t="s">
        <v>1184</v>
      </c>
      <c r="G115" s="21" t="s">
        <v>0</v>
      </c>
      <c r="H115" s="21" t="s">
        <v>1185</v>
      </c>
      <c r="I115" s="21" t="s">
        <v>88</v>
      </c>
      <c r="J115" s="21" t="s">
        <v>13</v>
      </c>
      <c r="K115" s="21" t="s">
        <v>7</v>
      </c>
      <c r="L115" s="21">
        <v>601</v>
      </c>
      <c r="M115" s="21">
        <v>4</v>
      </c>
      <c r="P115" s="21" t="s">
        <v>71</v>
      </c>
      <c r="Q115" s="21" t="s">
        <v>9</v>
      </c>
      <c r="S115" s="21">
        <v>601</v>
      </c>
      <c r="T115" s="21">
        <v>3.7</v>
      </c>
      <c r="W115" s="21">
        <v>0.82</v>
      </c>
      <c r="X115" s="21" t="s">
        <v>1264</v>
      </c>
      <c r="Z115" s="21" t="s">
        <v>209</v>
      </c>
      <c r="AE115" s="21" t="s">
        <v>211</v>
      </c>
      <c r="AG115" s="21" t="s">
        <v>212</v>
      </c>
    </row>
    <row r="116" spans="1:35" x14ac:dyDescent="0.35">
      <c r="A116" s="21">
        <v>115</v>
      </c>
      <c r="B116" s="20">
        <f>_xlfn.XLOOKUP(C116, csl_deposits!B:B, csl_deposits!A:A, "NA", 0,1)</f>
        <v>48</v>
      </c>
      <c r="C116" s="21" t="s">
        <v>753</v>
      </c>
      <c r="E116" s="21" t="s">
        <v>1190</v>
      </c>
      <c r="F116" s="21" t="s">
        <v>1287</v>
      </c>
      <c r="G116" s="21" t="s">
        <v>1</v>
      </c>
      <c r="H116" s="21" t="s">
        <v>1191</v>
      </c>
      <c r="I116" s="21" t="s">
        <v>79</v>
      </c>
      <c r="J116" s="21" t="s">
        <v>1</v>
      </c>
      <c r="L116" s="21">
        <v>538.79999999999995</v>
      </c>
      <c r="AB116" s="21" t="s">
        <v>984</v>
      </c>
      <c r="AD116" s="21" t="s">
        <v>985</v>
      </c>
      <c r="AG116" s="21" t="s">
        <v>1259</v>
      </c>
    </row>
    <row r="117" spans="1:35" x14ac:dyDescent="0.35">
      <c r="A117" s="21">
        <v>116</v>
      </c>
      <c r="B117" s="20">
        <f>_xlfn.XLOOKUP(C117, csl_deposits!B:B, csl_deposits!A:A, "NA", 0,1)</f>
        <v>50</v>
      </c>
      <c r="C117" s="21" t="s">
        <v>763</v>
      </c>
      <c r="D117" s="21" t="s">
        <v>139</v>
      </c>
      <c r="E117" s="21" t="s">
        <v>1190</v>
      </c>
      <c r="F117" s="21" t="s">
        <v>1018</v>
      </c>
      <c r="G117" s="21" t="s">
        <v>1</v>
      </c>
      <c r="H117" s="21" t="s">
        <v>1185</v>
      </c>
      <c r="I117" s="21" t="s">
        <v>88</v>
      </c>
      <c r="J117" s="21" t="s">
        <v>13</v>
      </c>
      <c r="K117" s="21" t="s">
        <v>7</v>
      </c>
      <c r="L117" s="24">
        <v>580.34</v>
      </c>
      <c r="M117" s="21">
        <v>0.88</v>
      </c>
      <c r="P117" s="21" t="s">
        <v>32</v>
      </c>
      <c r="Q117" s="21" t="s">
        <v>9</v>
      </c>
      <c r="R117" s="22" t="s">
        <v>140</v>
      </c>
      <c r="S117" s="24">
        <v>580.34</v>
      </c>
      <c r="T117" s="24">
        <v>0.52</v>
      </c>
      <c r="U117" s="21">
        <v>0.62</v>
      </c>
      <c r="V117" s="21">
        <v>0.88</v>
      </c>
      <c r="W117" s="21">
        <v>0.36</v>
      </c>
      <c r="X117" s="21" t="s">
        <v>1288</v>
      </c>
      <c r="Z117" s="21" t="s">
        <v>136</v>
      </c>
      <c r="AB117" s="21" t="s">
        <v>141</v>
      </c>
      <c r="AF117" s="21" t="s">
        <v>919</v>
      </c>
      <c r="AG117" s="21" t="s">
        <v>138</v>
      </c>
    </row>
    <row r="118" spans="1:35" x14ac:dyDescent="0.35">
      <c r="A118" s="21">
        <v>117</v>
      </c>
      <c r="B118" s="20">
        <f>_xlfn.XLOOKUP(C118, csl_deposits!B:B, csl_deposits!A:A, "NA", 0,1)</f>
        <v>50</v>
      </c>
      <c r="C118" s="21" t="s">
        <v>763</v>
      </c>
      <c r="D118" s="21" t="s">
        <v>142</v>
      </c>
      <c r="E118" s="21" t="s">
        <v>1190</v>
      </c>
      <c r="F118" s="21" t="s">
        <v>1018</v>
      </c>
      <c r="G118" s="21" t="s">
        <v>1</v>
      </c>
      <c r="H118" s="21" t="s">
        <v>1185</v>
      </c>
      <c r="I118" s="21" t="s">
        <v>88</v>
      </c>
      <c r="J118" s="21" t="s">
        <v>13</v>
      </c>
      <c r="K118" s="21" t="s">
        <v>7</v>
      </c>
      <c r="L118" s="24">
        <v>580.9</v>
      </c>
      <c r="M118" s="21">
        <v>0.82</v>
      </c>
      <c r="P118" s="21" t="s">
        <v>32</v>
      </c>
      <c r="Q118" s="21" t="s">
        <v>9</v>
      </c>
      <c r="R118" s="22" t="s">
        <v>143</v>
      </c>
      <c r="S118" s="24">
        <v>580.9</v>
      </c>
      <c r="T118" s="24">
        <v>0.4</v>
      </c>
      <c r="U118" s="21">
        <v>0.53</v>
      </c>
      <c r="V118" s="21">
        <v>0.82</v>
      </c>
      <c r="W118" s="21">
        <v>1.1000000000000001</v>
      </c>
      <c r="X118" s="21" t="s">
        <v>1289</v>
      </c>
      <c r="Z118" s="21" t="s">
        <v>136</v>
      </c>
      <c r="AB118" s="21" t="s">
        <v>141</v>
      </c>
      <c r="AF118" s="21" t="s">
        <v>919</v>
      </c>
      <c r="AG118" s="21" t="s">
        <v>138</v>
      </c>
    </row>
    <row r="119" spans="1:35" x14ac:dyDescent="0.35">
      <c r="A119" s="21">
        <v>118</v>
      </c>
      <c r="B119" s="20">
        <f>_xlfn.XLOOKUP(C119, csl_deposits!B:B, csl_deposits!A:A, "NA", 0,1)</f>
        <v>50</v>
      </c>
      <c r="C119" s="21" t="s">
        <v>763</v>
      </c>
      <c r="D119" s="21" t="s">
        <v>265</v>
      </c>
      <c r="E119" s="21" t="s">
        <v>1184</v>
      </c>
      <c r="F119" s="21" t="s">
        <v>1291</v>
      </c>
      <c r="G119" s="21" t="s">
        <v>0</v>
      </c>
      <c r="H119" s="21" t="s">
        <v>1185</v>
      </c>
      <c r="I119" s="21" t="s">
        <v>266</v>
      </c>
      <c r="J119" s="21" t="s">
        <v>13</v>
      </c>
      <c r="K119" s="21" t="s">
        <v>7</v>
      </c>
      <c r="L119" s="21">
        <v>606</v>
      </c>
      <c r="M119" s="21">
        <v>3.7</v>
      </c>
      <c r="P119" s="21" t="s">
        <v>267</v>
      </c>
      <c r="Q119" s="21" t="s">
        <v>9</v>
      </c>
      <c r="S119" s="21">
        <v>606</v>
      </c>
      <c r="T119" s="21">
        <v>3.7</v>
      </c>
      <c r="X119" s="21" t="s">
        <v>1290</v>
      </c>
      <c r="Z119" s="21" t="s">
        <v>268</v>
      </c>
      <c r="AE119" s="21" t="s">
        <v>269</v>
      </c>
      <c r="AG119" s="21" t="s">
        <v>270</v>
      </c>
    </row>
    <row r="120" spans="1:35" x14ac:dyDescent="0.35">
      <c r="A120" s="21">
        <v>119</v>
      </c>
      <c r="B120" s="20">
        <f>_xlfn.XLOOKUP(C120, csl_deposits!B:B, csl_deposits!A:A, "NA", 0,1)</f>
        <v>51</v>
      </c>
      <c r="C120" s="21" t="s">
        <v>764</v>
      </c>
      <c r="D120" s="21" t="s">
        <v>271</v>
      </c>
      <c r="E120" s="21" t="s">
        <v>1190</v>
      </c>
      <c r="F120" s="21" t="s">
        <v>1293</v>
      </c>
      <c r="H120" s="21" t="s">
        <v>1185</v>
      </c>
      <c r="I120" s="21" t="s">
        <v>79</v>
      </c>
      <c r="J120" s="21" t="s">
        <v>0</v>
      </c>
      <c r="K120" s="21" t="s">
        <v>7</v>
      </c>
      <c r="L120" s="21">
        <v>634</v>
      </c>
      <c r="M120" s="21">
        <v>29</v>
      </c>
      <c r="P120" s="21" t="s">
        <v>14</v>
      </c>
      <c r="Q120" s="21" t="s">
        <v>25</v>
      </c>
      <c r="S120" s="21">
        <v>634</v>
      </c>
      <c r="T120" s="21">
        <v>29</v>
      </c>
      <c r="X120" s="21" t="s">
        <v>1292</v>
      </c>
      <c r="Y120" s="22"/>
      <c r="Z120" s="21" t="s">
        <v>272</v>
      </c>
      <c r="AB120" s="21" t="s">
        <v>273</v>
      </c>
      <c r="AG120" s="21" t="s">
        <v>274</v>
      </c>
    </row>
    <row r="121" spans="1:35" x14ac:dyDescent="0.35">
      <c r="A121" s="21">
        <v>120</v>
      </c>
      <c r="B121" s="20">
        <f>_xlfn.XLOOKUP(C121, csl_deposits!B:B, csl_deposits!A:A, "NA", 0,1)</f>
        <v>52</v>
      </c>
      <c r="C121" s="21" t="s">
        <v>767</v>
      </c>
      <c r="E121" s="21" t="s">
        <v>1190</v>
      </c>
      <c r="F121" s="21" t="s">
        <v>1243</v>
      </c>
      <c r="G121" s="21" t="s">
        <v>1</v>
      </c>
      <c r="H121" s="21" t="s">
        <v>1185</v>
      </c>
      <c r="I121" s="21" t="s">
        <v>31</v>
      </c>
      <c r="J121" s="21" t="s">
        <v>13</v>
      </c>
      <c r="K121" s="21" t="s">
        <v>7</v>
      </c>
      <c r="L121" s="21">
        <v>571</v>
      </c>
      <c r="M121" s="21">
        <v>1</v>
      </c>
      <c r="P121" s="21" t="s">
        <v>125</v>
      </c>
      <c r="Q121" s="21" t="s">
        <v>9</v>
      </c>
      <c r="S121" s="21">
        <v>571</v>
      </c>
      <c r="T121" s="21">
        <v>1</v>
      </c>
      <c r="X121" s="21" t="s">
        <v>1242</v>
      </c>
      <c r="Y121" s="21" t="s">
        <v>116</v>
      </c>
      <c r="AB121" s="21" t="s">
        <v>126</v>
      </c>
      <c r="AG121" s="21" t="s">
        <v>127</v>
      </c>
      <c r="AH121" s="21" t="s">
        <v>128</v>
      </c>
    </row>
    <row r="122" spans="1:35" x14ac:dyDescent="0.35">
      <c r="A122" s="21">
        <v>121</v>
      </c>
      <c r="B122" s="20">
        <f>_xlfn.XLOOKUP(C122, csl_deposits!B:B, csl_deposits!A:A, "NA", 0,1)</f>
        <v>52</v>
      </c>
      <c r="C122" s="21" t="s">
        <v>767</v>
      </c>
      <c r="D122" s="21" t="s">
        <v>275</v>
      </c>
      <c r="E122" s="21" t="s">
        <v>1188</v>
      </c>
      <c r="F122" s="21" t="s">
        <v>1295</v>
      </c>
      <c r="G122" s="21" t="s">
        <v>2</v>
      </c>
      <c r="H122" s="21" t="s">
        <v>1185</v>
      </c>
      <c r="I122" s="21" t="s">
        <v>255</v>
      </c>
      <c r="J122" s="21" t="s">
        <v>6</v>
      </c>
      <c r="K122" s="21" t="s">
        <v>7</v>
      </c>
      <c r="L122" s="21">
        <v>706</v>
      </c>
      <c r="M122" s="21">
        <v>1.8</v>
      </c>
      <c r="P122" s="21" t="s">
        <v>125</v>
      </c>
      <c r="Q122" s="21" t="s">
        <v>9</v>
      </c>
      <c r="S122" s="21">
        <v>706</v>
      </c>
      <c r="T122" s="21">
        <v>1.8</v>
      </c>
      <c r="X122" s="21" t="s">
        <v>1294</v>
      </c>
      <c r="Z122" s="21" t="s">
        <v>276</v>
      </c>
      <c r="AB122" s="21" t="s">
        <v>277</v>
      </c>
      <c r="AG122" s="21" t="s">
        <v>278</v>
      </c>
      <c r="AH122" s="21" t="s">
        <v>279</v>
      </c>
    </row>
    <row r="123" spans="1:35" x14ac:dyDescent="0.35">
      <c r="A123" s="21">
        <v>122</v>
      </c>
      <c r="B123" s="20">
        <f>_xlfn.XLOOKUP(C123, csl_deposits!B:B, csl_deposits!A:A, "NA", 0,1)</f>
        <v>52</v>
      </c>
      <c r="C123" s="21" t="s">
        <v>767</v>
      </c>
      <c r="D123" s="21" t="s">
        <v>280</v>
      </c>
      <c r="E123" s="21" t="s">
        <v>1188</v>
      </c>
      <c r="F123" s="21" t="s">
        <v>1295</v>
      </c>
      <c r="G123" s="21" t="s">
        <v>2</v>
      </c>
      <c r="H123" s="21" t="s">
        <v>1185</v>
      </c>
      <c r="I123" s="21" t="s">
        <v>115</v>
      </c>
      <c r="J123" s="21" t="s">
        <v>6</v>
      </c>
      <c r="K123" s="21" t="s">
        <v>7</v>
      </c>
      <c r="L123" s="21">
        <v>705</v>
      </c>
      <c r="M123" s="21">
        <v>2</v>
      </c>
      <c r="P123" s="21" t="s">
        <v>125</v>
      </c>
      <c r="Q123" s="21" t="s">
        <v>9</v>
      </c>
      <c r="S123" s="21">
        <v>705</v>
      </c>
      <c r="T123" s="21">
        <v>2</v>
      </c>
      <c r="X123" s="21" t="s">
        <v>1296</v>
      </c>
      <c r="Z123" s="21" t="s">
        <v>276</v>
      </c>
      <c r="AB123" s="21" t="s">
        <v>281</v>
      </c>
      <c r="AG123" s="21" t="s">
        <v>278</v>
      </c>
      <c r="AH123" s="21" t="s">
        <v>279</v>
      </c>
    </row>
    <row r="124" spans="1:35" x14ac:dyDescent="0.35">
      <c r="A124" s="21">
        <v>123</v>
      </c>
      <c r="B124" s="20">
        <f>_xlfn.XLOOKUP(C124, csl_deposits!B:B, csl_deposits!A:A, "NA", 0,1)</f>
        <v>52</v>
      </c>
      <c r="C124" s="21" t="s">
        <v>767</v>
      </c>
      <c r="D124" s="21" t="s">
        <v>282</v>
      </c>
      <c r="E124" s="21" t="s">
        <v>1188</v>
      </c>
      <c r="F124" s="21" t="s">
        <v>1295</v>
      </c>
      <c r="G124" s="21" t="s">
        <v>2</v>
      </c>
      <c r="H124" s="21" t="s">
        <v>1185</v>
      </c>
      <c r="I124" s="21" t="s">
        <v>115</v>
      </c>
      <c r="J124" s="21" t="s">
        <v>6</v>
      </c>
      <c r="K124" s="21" t="s">
        <v>7</v>
      </c>
      <c r="L124" s="21">
        <v>702</v>
      </c>
      <c r="P124" s="21" t="s">
        <v>125</v>
      </c>
      <c r="Q124" s="21" t="s">
        <v>9</v>
      </c>
      <c r="S124" s="21">
        <v>702</v>
      </c>
      <c r="X124" s="21" t="s">
        <v>1296</v>
      </c>
      <c r="Z124" s="21" t="s">
        <v>276</v>
      </c>
      <c r="AB124" s="21" t="s">
        <v>281</v>
      </c>
      <c r="AG124" s="21" t="s">
        <v>278</v>
      </c>
      <c r="AH124" s="21" t="s">
        <v>279</v>
      </c>
    </row>
    <row r="125" spans="1:35" x14ac:dyDescent="0.35">
      <c r="A125" s="21">
        <v>124</v>
      </c>
      <c r="B125" s="20">
        <f>_xlfn.XLOOKUP(C125, csl_deposits!B:B, csl_deposits!A:A, "NA", 0,1)</f>
        <v>93</v>
      </c>
      <c r="C125" s="21" t="s">
        <v>1528</v>
      </c>
      <c r="D125" s="21" t="s">
        <v>411</v>
      </c>
      <c r="E125" s="21" t="s">
        <v>1190</v>
      </c>
      <c r="F125" s="21" t="s">
        <v>1567</v>
      </c>
      <c r="G125" s="21" t="s">
        <v>1</v>
      </c>
      <c r="H125" s="21" t="s">
        <v>1185</v>
      </c>
      <c r="I125" s="21" t="s">
        <v>88</v>
      </c>
      <c r="J125" s="21" t="s">
        <v>13</v>
      </c>
      <c r="K125" s="21" t="s">
        <v>7</v>
      </c>
      <c r="L125" s="24">
        <v>579.63</v>
      </c>
      <c r="M125" s="21">
        <v>0.68</v>
      </c>
      <c r="P125" s="21" t="s">
        <v>32</v>
      </c>
      <c r="Q125" s="21" t="s">
        <v>9</v>
      </c>
      <c r="R125" s="22" t="s">
        <v>412</v>
      </c>
      <c r="S125" s="24">
        <v>579.63</v>
      </c>
      <c r="T125" s="24">
        <v>0.15</v>
      </c>
      <c r="U125" s="21">
        <v>0.28999999999999998</v>
      </c>
      <c r="V125" s="21">
        <v>0.68</v>
      </c>
      <c r="W125" s="21">
        <v>1.7999999999999999E-2</v>
      </c>
      <c r="X125" s="21" t="s">
        <v>1017</v>
      </c>
      <c r="Y125" s="22"/>
      <c r="Z125" s="21" t="s">
        <v>407</v>
      </c>
      <c r="AB125" s="21" t="s">
        <v>408</v>
      </c>
      <c r="AG125" s="21" t="s">
        <v>138</v>
      </c>
    </row>
    <row r="126" spans="1:35" x14ac:dyDescent="0.35">
      <c r="A126" s="21">
        <v>125</v>
      </c>
      <c r="B126" s="20">
        <f>_xlfn.XLOOKUP(C126, csl_deposits!B:B, csl_deposits!A:A, "NA", 0,1)</f>
        <v>93</v>
      </c>
      <c r="C126" s="21" t="s">
        <v>1528</v>
      </c>
      <c r="D126" s="21" t="s">
        <v>1550</v>
      </c>
      <c r="E126" s="21" t="s">
        <v>1184</v>
      </c>
      <c r="F126" s="21" t="s">
        <v>1555</v>
      </c>
      <c r="G126" s="21" t="s">
        <v>0</v>
      </c>
      <c r="H126" s="21" t="s">
        <v>1185</v>
      </c>
      <c r="I126" s="21" t="s">
        <v>31</v>
      </c>
      <c r="J126" s="21" t="s">
        <v>0</v>
      </c>
      <c r="K126" s="21" t="s">
        <v>7</v>
      </c>
      <c r="L126" s="24">
        <v>592</v>
      </c>
      <c r="M126" s="21">
        <v>2.2000000000000002</v>
      </c>
      <c r="P126" s="21" t="s">
        <v>32</v>
      </c>
      <c r="Q126" s="21" t="s">
        <v>25</v>
      </c>
      <c r="R126" s="22"/>
      <c r="S126" s="24">
        <v>592</v>
      </c>
      <c r="T126" s="24">
        <v>2.2000000000000002</v>
      </c>
      <c r="W126" s="21">
        <v>0.48</v>
      </c>
      <c r="X126" s="21" t="s">
        <v>1552</v>
      </c>
      <c r="Y126" s="22"/>
      <c r="Z126" s="21" t="s">
        <v>1553</v>
      </c>
      <c r="AB126" s="21" t="s">
        <v>1554</v>
      </c>
      <c r="AG126" s="21" t="s">
        <v>1547</v>
      </c>
      <c r="AH126" s="21" t="s">
        <v>1548</v>
      </c>
      <c r="AI126" s="21" t="s">
        <v>1549</v>
      </c>
    </row>
    <row r="127" spans="1:35" x14ac:dyDescent="0.35">
      <c r="A127" s="21">
        <v>126</v>
      </c>
      <c r="B127" s="20">
        <f>_xlfn.XLOOKUP(C127, csl_deposits!B:B, csl_deposits!A:A, "NA", 0,1)</f>
        <v>93</v>
      </c>
      <c r="C127" s="21" t="s">
        <v>1528</v>
      </c>
      <c r="D127" s="21" t="s">
        <v>1551</v>
      </c>
      <c r="E127" s="21" t="s">
        <v>1184</v>
      </c>
      <c r="F127" s="21" t="s">
        <v>1555</v>
      </c>
      <c r="G127" s="21" t="s">
        <v>0</v>
      </c>
      <c r="H127" s="21" t="s">
        <v>1185</v>
      </c>
      <c r="I127" s="21" t="s">
        <v>31</v>
      </c>
      <c r="J127" s="21" t="s">
        <v>0</v>
      </c>
      <c r="K127" s="21" t="s">
        <v>7</v>
      </c>
      <c r="L127" s="24">
        <v>591.29999999999995</v>
      </c>
      <c r="M127" s="21">
        <v>1.6</v>
      </c>
      <c r="P127" s="21" t="s">
        <v>32</v>
      </c>
      <c r="Q127" s="21" t="s">
        <v>25</v>
      </c>
      <c r="R127" s="22"/>
      <c r="S127" s="24">
        <v>591.29999999999995</v>
      </c>
      <c r="T127" s="24">
        <v>1.6</v>
      </c>
      <c r="W127" s="21">
        <v>7.1999999999999995E-2</v>
      </c>
      <c r="X127" s="21" t="s">
        <v>1552</v>
      </c>
      <c r="Y127" s="22"/>
      <c r="Z127" s="21" t="s">
        <v>1553</v>
      </c>
      <c r="AB127" s="21" t="s">
        <v>1554</v>
      </c>
      <c r="AG127" s="21" t="s">
        <v>1547</v>
      </c>
      <c r="AH127" s="21" t="s">
        <v>1548</v>
      </c>
      <c r="AI127" s="21" t="s">
        <v>1549</v>
      </c>
    </row>
    <row r="128" spans="1:35" x14ac:dyDescent="0.35">
      <c r="A128" s="21">
        <v>127</v>
      </c>
      <c r="B128" s="20">
        <f>_xlfn.XLOOKUP(C128, csl_deposits!B:B, csl_deposits!A:A, "NA", 0,1)</f>
        <v>54</v>
      </c>
      <c r="C128" s="21" t="s">
        <v>773</v>
      </c>
      <c r="E128" s="21" t="s">
        <v>1190</v>
      </c>
      <c r="F128" s="21" t="s">
        <v>1511</v>
      </c>
      <c r="G128" s="21" t="s">
        <v>1</v>
      </c>
      <c r="H128" s="21" t="s">
        <v>1191</v>
      </c>
      <c r="J128" s="21" t="s">
        <v>1</v>
      </c>
      <c r="L128" s="21">
        <v>538.79999999999995</v>
      </c>
      <c r="AB128" s="21" t="s">
        <v>1512</v>
      </c>
      <c r="AF128" s="21" t="s">
        <v>1513</v>
      </c>
      <c r="AG128" s="21" t="s">
        <v>288</v>
      </c>
      <c r="AH128" s="21" t="s">
        <v>1514</v>
      </c>
    </row>
    <row r="129" spans="1:34" x14ac:dyDescent="0.35">
      <c r="A129" s="21">
        <v>128</v>
      </c>
      <c r="B129" s="20">
        <f>_xlfn.XLOOKUP(C129, csl_deposits!B:B, csl_deposits!A:A, "NA", 0,1)</f>
        <v>54</v>
      </c>
      <c r="C129" s="21" t="s">
        <v>773</v>
      </c>
      <c r="D129" s="21" t="s">
        <v>283</v>
      </c>
      <c r="E129" s="21" t="s">
        <v>1184</v>
      </c>
      <c r="F129" s="21" t="s">
        <v>1062</v>
      </c>
      <c r="G129" s="21" t="s">
        <v>0</v>
      </c>
      <c r="H129" s="21" t="s">
        <v>1185</v>
      </c>
      <c r="I129" s="21" t="s">
        <v>284</v>
      </c>
      <c r="J129" s="21" t="s">
        <v>0</v>
      </c>
      <c r="K129" s="21" t="s">
        <v>7</v>
      </c>
      <c r="L129" s="21">
        <v>620</v>
      </c>
      <c r="M129" s="21">
        <v>14</v>
      </c>
      <c r="P129" s="21" t="s">
        <v>14</v>
      </c>
      <c r="Q129" s="21" t="s">
        <v>25</v>
      </c>
      <c r="S129" s="21">
        <v>620</v>
      </c>
      <c r="T129" s="21">
        <v>14</v>
      </c>
      <c r="X129" s="21" t="s">
        <v>1063</v>
      </c>
      <c r="Z129" s="21" t="s">
        <v>285</v>
      </c>
      <c r="AB129" s="21" t="s">
        <v>286</v>
      </c>
      <c r="AE129" s="21" t="s">
        <v>287</v>
      </c>
      <c r="AG129" s="21" t="s">
        <v>288</v>
      </c>
      <c r="AH129" s="21" t="s">
        <v>289</v>
      </c>
    </row>
    <row r="130" spans="1:34" x14ac:dyDescent="0.35">
      <c r="A130" s="21">
        <v>129</v>
      </c>
      <c r="B130" s="20">
        <f>_xlfn.XLOOKUP(C130, csl_deposits!B:B, csl_deposits!A:A, "NA", 0,1)</f>
        <v>55</v>
      </c>
      <c r="C130" s="21" t="s">
        <v>781</v>
      </c>
      <c r="E130" s="21" t="s">
        <v>1190</v>
      </c>
      <c r="F130" s="21" t="s">
        <v>1301</v>
      </c>
      <c r="G130" s="21" t="s">
        <v>1</v>
      </c>
      <c r="H130" s="21" t="s">
        <v>1191</v>
      </c>
      <c r="I130" s="21" t="s">
        <v>79</v>
      </c>
      <c r="J130" s="21" t="s">
        <v>1</v>
      </c>
      <c r="L130" s="21">
        <v>538.79999999999995</v>
      </c>
      <c r="Z130" s="21" t="s">
        <v>993</v>
      </c>
      <c r="AB130" s="21" t="s">
        <v>994</v>
      </c>
      <c r="AC130" s="21" t="s">
        <v>995</v>
      </c>
      <c r="AG130" s="21" t="s">
        <v>1302</v>
      </c>
    </row>
    <row r="131" spans="1:34" x14ac:dyDescent="0.35">
      <c r="A131" s="21">
        <v>130</v>
      </c>
      <c r="B131" s="20">
        <f>_xlfn.XLOOKUP(C131, csl_deposits!B:B, csl_deposits!A:A, "NA", 0,1)</f>
        <v>55</v>
      </c>
      <c r="C131" s="21" t="s">
        <v>781</v>
      </c>
      <c r="E131" s="21" t="s">
        <v>1184</v>
      </c>
      <c r="F131" s="21" t="s">
        <v>1297</v>
      </c>
      <c r="G131" s="21" t="s">
        <v>0</v>
      </c>
      <c r="H131" s="21" t="s">
        <v>1022</v>
      </c>
      <c r="I131" s="21" t="s">
        <v>46</v>
      </c>
      <c r="J131" s="21" t="s">
        <v>0</v>
      </c>
      <c r="K131" s="21" t="s">
        <v>1198</v>
      </c>
      <c r="L131" s="21">
        <v>570</v>
      </c>
      <c r="M131" s="21">
        <v>4</v>
      </c>
      <c r="N131" s="21" t="s">
        <v>1007</v>
      </c>
      <c r="O131" s="21" t="s">
        <v>1199</v>
      </c>
      <c r="Z131" s="21" t="s">
        <v>993</v>
      </c>
      <c r="AB131" s="21" t="s">
        <v>1298</v>
      </c>
      <c r="AC131" s="21" t="s">
        <v>1299</v>
      </c>
      <c r="AG131" s="21" t="s">
        <v>1144</v>
      </c>
    </row>
    <row r="132" spans="1:34" x14ac:dyDescent="0.35">
      <c r="A132" s="21">
        <v>131</v>
      </c>
      <c r="B132" s="20">
        <f>_xlfn.XLOOKUP(C132, csl_deposits!B:B, csl_deposits!A:A, "NA", 0,1)</f>
        <v>55</v>
      </c>
      <c r="C132" s="21" t="s">
        <v>781</v>
      </c>
      <c r="E132" s="21" t="s">
        <v>1184</v>
      </c>
      <c r="F132" s="21" t="s">
        <v>1300</v>
      </c>
      <c r="G132" s="21" t="s">
        <v>0</v>
      </c>
      <c r="H132" s="21" t="s">
        <v>1022</v>
      </c>
      <c r="I132" s="21" t="s">
        <v>61</v>
      </c>
      <c r="J132" s="21" t="s">
        <v>0</v>
      </c>
      <c r="K132" s="21" t="s">
        <v>1198</v>
      </c>
      <c r="L132" s="21">
        <v>570</v>
      </c>
      <c r="M132" s="21">
        <v>4</v>
      </c>
      <c r="N132" s="21" t="s">
        <v>1007</v>
      </c>
      <c r="O132" s="21" t="s">
        <v>1199</v>
      </c>
      <c r="Z132" s="21" t="s">
        <v>993</v>
      </c>
      <c r="AB132" s="21" t="s">
        <v>1143</v>
      </c>
      <c r="AG132" s="21" t="s">
        <v>1144</v>
      </c>
    </row>
    <row r="133" spans="1:34" x14ac:dyDescent="0.35">
      <c r="A133" s="21">
        <v>132</v>
      </c>
      <c r="B133" s="20">
        <f>_xlfn.XLOOKUP(C133, csl_deposits!B:B, csl_deposits!A:A, "NA", 0,1)</f>
        <v>58</v>
      </c>
      <c r="C133" s="21" t="s">
        <v>792</v>
      </c>
      <c r="D133" s="21" t="s">
        <v>290</v>
      </c>
      <c r="E133" s="21" t="s">
        <v>1190</v>
      </c>
      <c r="F133" s="22"/>
      <c r="H133" s="21" t="s">
        <v>1185</v>
      </c>
      <c r="I133" s="21" t="s">
        <v>54</v>
      </c>
      <c r="J133" s="21" t="s">
        <v>6</v>
      </c>
      <c r="K133" s="21" t="s">
        <v>7</v>
      </c>
      <c r="L133" s="24">
        <v>538</v>
      </c>
      <c r="M133" s="24">
        <v>2</v>
      </c>
      <c r="P133" s="21" t="s">
        <v>14</v>
      </c>
      <c r="Q133" s="21" t="s">
        <v>9</v>
      </c>
      <c r="R133" s="22"/>
      <c r="S133" s="24">
        <v>538</v>
      </c>
      <c r="T133" s="25"/>
      <c r="U133" s="25"/>
      <c r="V133" s="24">
        <v>2</v>
      </c>
      <c r="W133" s="21">
        <v>0.35</v>
      </c>
      <c r="X133" s="21" t="s">
        <v>1056</v>
      </c>
      <c r="AB133" s="21" t="s">
        <v>291</v>
      </c>
      <c r="AG133" s="21" t="s">
        <v>56</v>
      </c>
    </row>
    <row r="134" spans="1:34" x14ac:dyDescent="0.35">
      <c r="A134" s="21">
        <v>133</v>
      </c>
      <c r="B134" s="20">
        <f>_xlfn.XLOOKUP(C134, csl_deposits!B:B, csl_deposits!A:A, "NA", 0,1)</f>
        <v>58</v>
      </c>
      <c r="C134" s="21" t="s">
        <v>792</v>
      </c>
      <c r="D134" s="21" t="s">
        <v>292</v>
      </c>
      <c r="E134" s="21" t="s">
        <v>1184</v>
      </c>
      <c r="F134" s="22"/>
      <c r="G134" s="21" t="s">
        <v>0</v>
      </c>
      <c r="H134" s="21" t="s">
        <v>1185</v>
      </c>
      <c r="I134" s="21" t="s">
        <v>64</v>
      </c>
      <c r="J134" s="21" t="s">
        <v>0</v>
      </c>
      <c r="K134" s="21" t="s">
        <v>7</v>
      </c>
      <c r="L134" s="24">
        <v>566</v>
      </c>
      <c r="M134" s="24">
        <v>4</v>
      </c>
      <c r="P134" s="21" t="s">
        <v>14</v>
      </c>
      <c r="Q134" s="21" t="s">
        <v>25</v>
      </c>
      <c r="R134" s="22"/>
      <c r="S134" s="24">
        <v>566</v>
      </c>
      <c r="T134" s="25"/>
      <c r="U134" s="25"/>
      <c r="V134" s="24">
        <v>4</v>
      </c>
      <c r="W134" s="21">
        <v>0.72</v>
      </c>
      <c r="X134" s="21" t="s">
        <v>1055</v>
      </c>
      <c r="Z134" s="21" t="s">
        <v>293</v>
      </c>
      <c r="AB134" s="21" t="s">
        <v>294</v>
      </c>
      <c r="AD134" s="21" t="s">
        <v>295</v>
      </c>
      <c r="AG134" s="21" t="s">
        <v>56</v>
      </c>
    </row>
    <row r="135" spans="1:34" x14ac:dyDescent="0.35">
      <c r="A135" s="21">
        <v>134</v>
      </c>
      <c r="B135" s="20">
        <f>_xlfn.XLOOKUP(C135, csl_deposits!B:B, csl_deposits!A:A, "NA", 0,1)</f>
        <v>58</v>
      </c>
      <c r="C135" s="21" t="s">
        <v>792</v>
      </c>
      <c r="D135" s="21" t="s">
        <v>296</v>
      </c>
      <c r="E135" s="21" t="s">
        <v>1184</v>
      </c>
      <c r="F135" s="22"/>
      <c r="G135" s="21" t="s">
        <v>0</v>
      </c>
      <c r="H135" s="21" t="s">
        <v>1185</v>
      </c>
      <c r="I135" s="21" t="s">
        <v>64</v>
      </c>
      <c r="J135" s="21" t="s">
        <v>0</v>
      </c>
      <c r="K135" s="21" t="s">
        <v>7</v>
      </c>
      <c r="L135" s="24">
        <v>572</v>
      </c>
      <c r="M135" s="24">
        <v>2</v>
      </c>
      <c r="P135" s="21" t="s">
        <v>14</v>
      </c>
      <c r="Q135" s="21" t="s">
        <v>25</v>
      </c>
      <c r="R135" s="22"/>
      <c r="S135" s="24">
        <v>572</v>
      </c>
      <c r="T135" s="25"/>
      <c r="U135" s="25"/>
      <c r="V135" s="24">
        <v>2</v>
      </c>
      <c r="W135" s="21">
        <v>1.7</v>
      </c>
      <c r="X135" s="21" t="s">
        <v>1055</v>
      </c>
      <c r="Z135" s="21" t="s">
        <v>293</v>
      </c>
      <c r="AB135" s="21" t="s">
        <v>294</v>
      </c>
      <c r="AD135" s="21" t="s">
        <v>295</v>
      </c>
      <c r="AG135" s="21" t="s">
        <v>56</v>
      </c>
    </row>
    <row r="136" spans="1:34" x14ac:dyDescent="0.35">
      <c r="A136" s="21">
        <v>135</v>
      </c>
      <c r="B136" s="20">
        <f>_xlfn.XLOOKUP(C136, csl_deposits!B:B, csl_deposits!A:A, "NA", 0,1)</f>
        <v>58</v>
      </c>
      <c r="C136" s="21" t="s">
        <v>792</v>
      </c>
      <c r="D136" s="21" t="s">
        <v>297</v>
      </c>
      <c r="E136" s="21" t="s">
        <v>1184</v>
      </c>
      <c r="F136" s="22"/>
      <c r="G136" s="21" t="s">
        <v>0</v>
      </c>
      <c r="H136" s="21" t="s">
        <v>1185</v>
      </c>
      <c r="I136" s="21" t="s">
        <v>64</v>
      </c>
      <c r="J136" s="21" t="s">
        <v>0</v>
      </c>
      <c r="K136" s="21" t="s">
        <v>7</v>
      </c>
      <c r="L136" s="24">
        <v>576</v>
      </c>
      <c r="M136" s="24">
        <v>7</v>
      </c>
      <c r="P136" s="21" t="s">
        <v>14</v>
      </c>
      <c r="Q136" s="21" t="s">
        <v>25</v>
      </c>
      <c r="R136" s="22"/>
      <c r="S136" s="24">
        <v>576</v>
      </c>
      <c r="T136" s="25"/>
      <c r="U136" s="25"/>
      <c r="V136" s="24">
        <v>7</v>
      </c>
      <c r="W136" s="21">
        <v>0.17</v>
      </c>
      <c r="X136" s="21" t="s">
        <v>1055</v>
      </c>
      <c r="Z136" s="21" t="s">
        <v>293</v>
      </c>
      <c r="AB136" s="21" t="s">
        <v>294</v>
      </c>
      <c r="AD136" s="21" t="s">
        <v>295</v>
      </c>
      <c r="AG136" s="21" t="s">
        <v>56</v>
      </c>
    </row>
    <row r="137" spans="1:34" x14ac:dyDescent="0.35">
      <c r="A137" s="21">
        <v>136</v>
      </c>
      <c r="B137" s="20">
        <f>_xlfn.XLOOKUP(C137, csl_deposits!B:B, csl_deposits!A:A, "NA", 0,1)</f>
        <v>60</v>
      </c>
      <c r="C137" s="21" t="s">
        <v>802</v>
      </c>
      <c r="E137" s="21" t="s">
        <v>1190</v>
      </c>
      <c r="F137" s="22"/>
      <c r="G137" s="21" t="s">
        <v>1</v>
      </c>
      <c r="H137" s="21" t="s">
        <v>1185</v>
      </c>
      <c r="I137" s="21" t="s">
        <v>28</v>
      </c>
      <c r="J137" s="21" t="s">
        <v>2</v>
      </c>
      <c r="K137" s="21" t="s">
        <v>298</v>
      </c>
      <c r="L137" s="21">
        <v>555</v>
      </c>
      <c r="M137" s="21">
        <v>28</v>
      </c>
      <c r="Q137" s="21" t="s">
        <v>28</v>
      </c>
      <c r="S137" s="21">
        <v>555</v>
      </c>
      <c r="T137" s="21">
        <v>28</v>
      </c>
      <c r="X137" s="21" t="s">
        <v>1303</v>
      </c>
      <c r="Y137" s="22"/>
      <c r="Z137" s="21" t="s">
        <v>299</v>
      </c>
      <c r="AB137" s="21" t="s">
        <v>304</v>
      </c>
      <c r="AC137" s="21" t="s">
        <v>305</v>
      </c>
      <c r="AG137" s="21" t="s">
        <v>303</v>
      </c>
    </row>
    <row r="138" spans="1:34" x14ac:dyDescent="0.35">
      <c r="A138" s="21">
        <v>137</v>
      </c>
      <c r="B138" s="20">
        <f>_xlfn.XLOOKUP(C138, csl_deposits!B:B, csl_deposits!A:A, "NA", 0,1)</f>
        <v>60</v>
      </c>
      <c r="C138" s="21" t="s">
        <v>802</v>
      </c>
      <c r="E138" s="21" t="s">
        <v>1184</v>
      </c>
      <c r="F138" s="22"/>
      <c r="G138" s="21" t="s">
        <v>0</v>
      </c>
      <c r="H138" s="21" t="s">
        <v>1185</v>
      </c>
      <c r="I138" s="21" t="s">
        <v>28</v>
      </c>
      <c r="J138" s="21" t="s">
        <v>2</v>
      </c>
      <c r="K138" s="21" t="s">
        <v>298</v>
      </c>
      <c r="L138" s="21">
        <v>728</v>
      </c>
      <c r="M138" s="21">
        <v>32</v>
      </c>
      <c r="Q138" s="21" t="s">
        <v>28</v>
      </c>
      <c r="S138" s="21">
        <v>728</v>
      </c>
      <c r="T138" s="21">
        <v>32</v>
      </c>
      <c r="X138" s="21" t="s">
        <v>1303</v>
      </c>
      <c r="Y138" s="22"/>
      <c r="Z138" s="21" t="s">
        <v>299</v>
      </c>
      <c r="AA138" s="21" t="s">
        <v>300</v>
      </c>
      <c r="AB138" s="21" t="s">
        <v>301</v>
      </c>
      <c r="AC138" s="21" t="s">
        <v>302</v>
      </c>
      <c r="AG138" s="21" t="s">
        <v>303</v>
      </c>
    </row>
    <row r="139" spans="1:34" x14ac:dyDescent="0.35">
      <c r="A139" s="21">
        <v>138</v>
      </c>
      <c r="B139" s="20">
        <f>_xlfn.XLOOKUP(C139, csl_deposits!B:B, csl_deposits!A:A, "NA", 0,1)</f>
        <v>62</v>
      </c>
      <c r="C139" s="21" t="s">
        <v>809</v>
      </c>
      <c r="E139" s="21" t="s">
        <v>1190</v>
      </c>
      <c r="F139" s="21" t="s">
        <v>1304</v>
      </c>
      <c r="G139" s="21" t="s">
        <v>1</v>
      </c>
      <c r="H139" s="21" t="s">
        <v>1191</v>
      </c>
      <c r="I139" s="21" t="s">
        <v>28</v>
      </c>
      <c r="J139" s="21" t="s">
        <v>1</v>
      </c>
      <c r="L139" s="24">
        <v>538.79999999999995</v>
      </c>
      <c r="M139" s="24"/>
      <c r="Z139" s="21" t="s">
        <v>991</v>
      </c>
      <c r="AB139" s="21" t="s">
        <v>992</v>
      </c>
      <c r="AG139" s="21" t="s">
        <v>310</v>
      </c>
      <c r="AH139" s="21" t="s">
        <v>1305</v>
      </c>
    </row>
    <row r="140" spans="1:34" x14ac:dyDescent="0.35">
      <c r="A140" s="21">
        <v>139</v>
      </c>
      <c r="B140" s="20">
        <f>_xlfn.XLOOKUP(C140, csl_deposits!B:B, csl_deposits!A:A, "NA", 0,1)</f>
        <v>62</v>
      </c>
      <c r="C140" s="21" t="s">
        <v>809</v>
      </c>
      <c r="D140" s="21" t="s">
        <v>311</v>
      </c>
      <c r="E140" s="21" t="s">
        <v>1190</v>
      </c>
      <c r="F140" s="21" t="s">
        <v>1307</v>
      </c>
      <c r="H140" s="21" t="s">
        <v>1185</v>
      </c>
      <c r="I140" s="21" t="s">
        <v>79</v>
      </c>
      <c r="J140" s="21" t="s">
        <v>0</v>
      </c>
      <c r="K140" s="21" t="s">
        <v>7</v>
      </c>
      <c r="L140" s="24">
        <v>555</v>
      </c>
      <c r="M140" s="24">
        <v>4</v>
      </c>
      <c r="P140" s="21" t="s">
        <v>71</v>
      </c>
      <c r="Q140" s="21" t="s">
        <v>25</v>
      </c>
      <c r="S140" s="21">
        <v>555</v>
      </c>
      <c r="T140" s="21">
        <v>4</v>
      </c>
      <c r="X140" s="21" t="s">
        <v>1306</v>
      </c>
      <c r="Z140" s="21" t="s">
        <v>307</v>
      </c>
      <c r="AA140" s="21" t="s">
        <v>312</v>
      </c>
      <c r="AG140" s="21" t="s">
        <v>313</v>
      </c>
      <c r="AH140" s="21" t="s">
        <v>310</v>
      </c>
    </row>
    <row r="141" spans="1:34" x14ac:dyDescent="0.35">
      <c r="A141" s="21">
        <v>140</v>
      </c>
      <c r="B141" s="20">
        <f>_xlfn.XLOOKUP(C141, csl_deposits!B:B, csl_deposits!A:A, "NA", 0,1)</f>
        <v>62</v>
      </c>
      <c r="C141" s="21" t="s">
        <v>809</v>
      </c>
      <c r="D141" s="21" t="s">
        <v>306</v>
      </c>
      <c r="E141" s="21" t="s">
        <v>1184</v>
      </c>
      <c r="F141" s="22"/>
      <c r="G141" s="21" t="s">
        <v>0</v>
      </c>
      <c r="H141" s="21" t="s">
        <v>1185</v>
      </c>
      <c r="I141" s="21" t="s">
        <v>61</v>
      </c>
      <c r="J141" s="21" t="s">
        <v>0</v>
      </c>
      <c r="K141" s="21" t="s">
        <v>7</v>
      </c>
      <c r="L141" s="24">
        <v>565</v>
      </c>
      <c r="M141" s="24">
        <v>4</v>
      </c>
      <c r="P141" s="21" t="s">
        <v>14</v>
      </c>
      <c r="Q141" s="21" t="s">
        <v>25</v>
      </c>
      <c r="R141" s="22"/>
      <c r="S141" s="24">
        <v>565</v>
      </c>
      <c r="T141" s="25"/>
      <c r="U141" s="25"/>
      <c r="V141" s="24">
        <v>4</v>
      </c>
      <c r="X141" s="21" t="s">
        <v>1054</v>
      </c>
      <c r="Z141" s="21" t="s">
        <v>307</v>
      </c>
      <c r="AB141" s="21" t="s">
        <v>308</v>
      </c>
      <c r="AE141" s="21" t="s">
        <v>309</v>
      </c>
      <c r="AG141" s="21" t="s">
        <v>56</v>
      </c>
    </row>
    <row r="142" spans="1:34" x14ac:dyDescent="0.35">
      <c r="A142" s="21">
        <v>141</v>
      </c>
      <c r="B142" s="20">
        <f>_xlfn.XLOOKUP(C142, csl_deposits!B:B, csl_deposits!A:A, "NA", 0,1)</f>
        <v>63</v>
      </c>
      <c r="C142" s="21" t="s">
        <v>813</v>
      </c>
      <c r="D142" s="21" t="s">
        <v>314</v>
      </c>
      <c r="E142" s="21" t="s">
        <v>1190</v>
      </c>
      <c r="F142" s="21" t="s">
        <v>1309</v>
      </c>
      <c r="G142" s="21" t="s">
        <v>1</v>
      </c>
      <c r="H142" s="21" t="s">
        <v>1185</v>
      </c>
      <c r="I142" s="21" t="s">
        <v>316</v>
      </c>
      <c r="J142" s="21" t="s">
        <v>13</v>
      </c>
      <c r="K142" s="21" t="s">
        <v>7</v>
      </c>
      <c r="L142" s="21">
        <v>541</v>
      </c>
      <c r="M142" s="21">
        <v>6</v>
      </c>
      <c r="P142" s="21" t="s">
        <v>71</v>
      </c>
      <c r="Q142" s="21" t="s">
        <v>9</v>
      </c>
      <c r="S142" s="21">
        <v>541</v>
      </c>
      <c r="T142" s="21">
        <v>6</v>
      </c>
      <c r="W142" s="21">
        <v>0.39</v>
      </c>
      <c r="X142" s="21" t="s">
        <v>1308</v>
      </c>
      <c r="Z142" s="21" t="s">
        <v>317</v>
      </c>
      <c r="AB142" s="21" t="s">
        <v>318</v>
      </c>
      <c r="AG142" s="21" t="s">
        <v>319</v>
      </c>
    </row>
    <row r="143" spans="1:34" x14ac:dyDescent="0.35">
      <c r="A143" s="21">
        <v>142</v>
      </c>
      <c r="B143" s="20">
        <f>_xlfn.XLOOKUP(C143, csl_deposits!B:B, csl_deposits!A:A, "NA", 0,1)</f>
        <v>63</v>
      </c>
      <c r="C143" s="21" t="s">
        <v>813</v>
      </c>
      <c r="D143" s="21" t="s">
        <v>321</v>
      </c>
      <c r="E143" s="21" t="s">
        <v>1184</v>
      </c>
      <c r="F143" s="21" t="s">
        <v>1310</v>
      </c>
      <c r="G143" s="21" t="s">
        <v>0</v>
      </c>
      <c r="H143" s="21" t="s">
        <v>1185</v>
      </c>
      <c r="I143" s="21" t="s">
        <v>266</v>
      </c>
      <c r="J143" s="21" t="s">
        <v>13</v>
      </c>
      <c r="K143" s="21" t="s">
        <v>7</v>
      </c>
      <c r="L143" s="21">
        <v>567</v>
      </c>
      <c r="M143" s="21">
        <v>5</v>
      </c>
      <c r="P143" s="21" t="s">
        <v>71</v>
      </c>
      <c r="Q143" s="21" t="s">
        <v>9</v>
      </c>
      <c r="S143" s="21">
        <v>567</v>
      </c>
      <c r="T143" s="21">
        <v>5</v>
      </c>
      <c r="W143" s="21">
        <v>1.5</v>
      </c>
      <c r="X143" s="21" t="s">
        <v>1065</v>
      </c>
      <c r="Z143" s="21" t="s">
        <v>224</v>
      </c>
      <c r="AG143" s="21" t="s">
        <v>319</v>
      </c>
      <c r="AH143" s="21" t="s">
        <v>225</v>
      </c>
    </row>
    <row r="144" spans="1:34" x14ac:dyDescent="0.35">
      <c r="A144" s="21">
        <v>143</v>
      </c>
      <c r="B144" s="20">
        <f>_xlfn.XLOOKUP(C144, csl_deposits!B:B, csl_deposits!A:A, "NA", 0,1)</f>
        <v>63</v>
      </c>
      <c r="C144" s="21" t="s">
        <v>813</v>
      </c>
      <c r="D144" s="21" t="s">
        <v>322</v>
      </c>
      <c r="E144" s="21" t="s">
        <v>1184</v>
      </c>
      <c r="F144" s="21" t="s">
        <v>1312</v>
      </c>
      <c r="G144" s="21" t="s">
        <v>0</v>
      </c>
      <c r="H144" s="21" t="s">
        <v>1185</v>
      </c>
      <c r="I144" s="21" t="s">
        <v>223</v>
      </c>
      <c r="J144" s="21" t="s">
        <v>13</v>
      </c>
      <c r="K144" s="21" t="s">
        <v>7</v>
      </c>
      <c r="L144" s="21">
        <v>567</v>
      </c>
      <c r="M144" s="21">
        <v>4</v>
      </c>
      <c r="P144" s="21" t="s">
        <v>14</v>
      </c>
      <c r="Q144" s="21" t="s">
        <v>9</v>
      </c>
      <c r="S144" s="21">
        <v>567</v>
      </c>
      <c r="T144" s="21">
        <v>4</v>
      </c>
      <c r="W144" s="21">
        <v>0.23</v>
      </c>
      <c r="X144" s="21" t="s">
        <v>1311</v>
      </c>
      <c r="Z144" s="21" t="s">
        <v>224</v>
      </c>
      <c r="AG144" s="21" t="s">
        <v>323</v>
      </c>
    </row>
    <row r="145" spans="1:36" x14ac:dyDescent="0.35">
      <c r="A145" s="21">
        <v>144</v>
      </c>
      <c r="B145" s="20">
        <f>_xlfn.XLOOKUP(C145, csl_deposits!B:B, csl_deposits!A:A, "NA", 0,1)</f>
        <v>63</v>
      </c>
      <c r="C145" s="21" t="s">
        <v>813</v>
      </c>
      <c r="D145" s="21" t="s">
        <v>324</v>
      </c>
      <c r="E145" s="21" t="s">
        <v>1184</v>
      </c>
      <c r="F145" s="21" t="s">
        <v>1314</v>
      </c>
      <c r="H145" s="21" t="s">
        <v>1185</v>
      </c>
      <c r="I145" s="21" t="s">
        <v>325</v>
      </c>
      <c r="J145" s="21" t="s">
        <v>0</v>
      </c>
      <c r="K145" s="21" t="s">
        <v>7</v>
      </c>
      <c r="L145" s="21">
        <v>569</v>
      </c>
      <c r="M145" s="21">
        <v>4</v>
      </c>
      <c r="P145" s="21" t="s">
        <v>14</v>
      </c>
      <c r="Q145" s="21" t="s">
        <v>25</v>
      </c>
      <c r="S145" s="21">
        <v>569</v>
      </c>
      <c r="T145" s="21">
        <v>4</v>
      </c>
      <c r="W145" s="21">
        <v>0.75</v>
      </c>
      <c r="X145" s="21" t="s">
        <v>1313</v>
      </c>
      <c r="Z145" s="21" t="s">
        <v>326</v>
      </c>
      <c r="AG145" s="21" t="s">
        <v>323</v>
      </c>
    </row>
    <row r="146" spans="1:36" x14ac:dyDescent="0.35">
      <c r="A146" s="21">
        <v>145</v>
      </c>
      <c r="B146" s="20">
        <f>_xlfn.XLOOKUP(C146, csl_deposits!B:B, csl_deposits!A:A, "NA", 0,1)</f>
        <v>63</v>
      </c>
      <c r="C146" s="21" t="s">
        <v>813</v>
      </c>
      <c r="D146" s="21" t="s">
        <v>320</v>
      </c>
      <c r="E146" s="21" t="s">
        <v>1188</v>
      </c>
      <c r="F146" s="22"/>
      <c r="G146" s="21" t="s">
        <v>0</v>
      </c>
      <c r="H146" s="21" t="s">
        <v>1185</v>
      </c>
      <c r="I146" s="21" t="s">
        <v>266</v>
      </c>
      <c r="J146" s="21" t="s">
        <v>13</v>
      </c>
      <c r="K146" s="21" t="s">
        <v>7</v>
      </c>
      <c r="L146" s="21">
        <v>566</v>
      </c>
      <c r="M146" s="21">
        <v>4</v>
      </c>
      <c r="P146" s="21" t="s">
        <v>71</v>
      </c>
      <c r="Q146" s="21" t="s">
        <v>9</v>
      </c>
      <c r="S146" s="21">
        <v>566</v>
      </c>
      <c r="T146" s="21">
        <v>4</v>
      </c>
      <c r="W146" s="21">
        <v>1.1299999999999999</v>
      </c>
      <c r="X146" s="21" t="s">
        <v>1069</v>
      </c>
      <c r="Z146" s="21" t="s">
        <v>224</v>
      </c>
      <c r="AG146" s="21" t="s">
        <v>319</v>
      </c>
    </row>
    <row r="147" spans="1:36" x14ac:dyDescent="0.35">
      <c r="A147" s="21">
        <v>146</v>
      </c>
      <c r="B147" s="20">
        <f>_xlfn.XLOOKUP(C147, csl_deposits!B:B, csl_deposits!A:A, "NA", 0,1)</f>
        <v>64</v>
      </c>
      <c r="C147" s="21" t="s">
        <v>817</v>
      </c>
      <c r="D147" s="21" t="s">
        <v>327</v>
      </c>
      <c r="E147" s="21" t="s">
        <v>1190</v>
      </c>
      <c r="H147" s="21" t="s">
        <v>1185</v>
      </c>
      <c r="I147" s="21" t="s">
        <v>328</v>
      </c>
      <c r="J147" s="21" t="s">
        <v>6</v>
      </c>
      <c r="K147" s="21" t="s">
        <v>7</v>
      </c>
      <c r="L147" s="21">
        <v>574.5</v>
      </c>
      <c r="M147" s="21">
        <v>8.1</v>
      </c>
      <c r="P147" s="21" t="s">
        <v>71</v>
      </c>
      <c r="Q147" s="21" t="s">
        <v>9</v>
      </c>
      <c r="S147" s="21">
        <v>574.5</v>
      </c>
      <c r="T147" s="21">
        <v>8.1</v>
      </c>
      <c r="W147" s="21">
        <v>4.0999999999999996</v>
      </c>
      <c r="X147" s="21" t="s">
        <v>1315</v>
      </c>
      <c r="Y147" s="22"/>
      <c r="Z147" s="21" t="s">
        <v>329</v>
      </c>
      <c r="AG147" s="21" t="s">
        <v>330</v>
      </c>
    </row>
    <row r="148" spans="1:36" x14ac:dyDescent="0.35">
      <c r="A148" s="21">
        <v>147</v>
      </c>
      <c r="B148" s="20">
        <f>_xlfn.XLOOKUP(C148, csl_deposits!B:B, csl_deposits!A:A, "NA", 0,1)</f>
        <v>64</v>
      </c>
      <c r="C148" s="21" t="s">
        <v>817</v>
      </c>
      <c r="D148" s="21" t="s">
        <v>331</v>
      </c>
      <c r="E148" s="21" t="s">
        <v>1190</v>
      </c>
      <c r="H148" s="21" t="s">
        <v>1185</v>
      </c>
      <c r="I148" s="21" t="s">
        <v>332</v>
      </c>
      <c r="J148" s="21" t="s">
        <v>13</v>
      </c>
      <c r="K148" s="21" t="s">
        <v>7</v>
      </c>
      <c r="L148" s="21">
        <v>581.79999999999995</v>
      </c>
      <c r="M148" s="21">
        <v>3.4</v>
      </c>
      <c r="P148" s="21" t="s">
        <v>71</v>
      </c>
      <c r="Q148" s="21" t="s">
        <v>9</v>
      </c>
      <c r="S148" s="21">
        <v>581.79999999999995</v>
      </c>
      <c r="T148" s="21">
        <v>3.4</v>
      </c>
      <c r="W148" s="21">
        <v>3.9</v>
      </c>
      <c r="X148" s="21" t="s">
        <v>1316</v>
      </c>
      <c r="Y148" s="22"/>
      <c r="Z148" s="21" t="s">
        <v>329</v>
      </c>
      <c r="AB148" s="21" t="s">
        <v>333</v>
      </c>
      <c r="AG148" s="21" t="s">
        <v>330</v>
      </c>
    </row>
    <row r="149" spans="1:36" x14ac:dyDescent="0.35">
      <c r="A149" s="21">
        <v>148</v>
      </c>
      <c r="B149" s="20">
        <f>_xlfn.XLOOKUP(C149, csl_deposits!B:B, csl_deposits!A:A, "NA", 0,1)</f>
        <v>64</v>
      </c>
      <c r="C149" s="21" t="s">
        <v>817</v>
      </c>
      <c r="D149" s="21" t="s">
        <v>334</v>
      </c>
      <c r="E149" s="21" t="s">
        <v>1190</v>
      </c>
      <c r="H149" s="21" t="s">
        <v>1185</v>
      </c>
      <c r="I149" s="21" t="s">
        <v>335</v>
      </c>
      <c r="J149" s="21" t="s">
        <v>6</v>
      </c>
      <c r="K149" s="21" t="s">
        <v>7</v>
      </c>
      <c r="L149" s="21">
        <v>587.4</v>
      </c>
      <c r="M149" s="21">
        <v>7.3</v>
      </c>
      <c r="P149" s="21" t="s">
        <v>71</v>
      </c>
      <c r="Q149" s="21" t="s">
        <v>9</v>
      </c>
      <c r="S149" s="21">
        <v>587.4</v>
      </c>
      <c r="T149" s="21">
        <v>7.3</v>
      </c>
      <c r="W149" s="21">
        <v>0.9</v>
      </c>
      <c r="X149" s="21" t="s">
        <v>1317</v>
      </c>
      <c r="Y149" s="22"/>
      <c r="Z149" s="21" t="s">
        <v>329</v>
      </c>
      <c r="AG149" s="21" t="s">
        <v>330</v>
      </c>
    </row>
    <row r="150" spans="1:36" x14ac:dyDescent="0.35">
      <c r="A150" s="21">
        <v>149</v>
      </c>
      <c r="B150" s="20">
        <f>_xlfn.XLOOKUP(C150, csl_deposits!B:B, csl_deposits!A:A, "NA", 0,1)</f>
        <v>64</v>
      </c>
      <c r="C150" s="21" t="s">
        <v>817</v>
      </c>
      <c r="E150" s="21" t="s">
        <v>1184</v>
      </c>
      <c r="G150" s="21" t="s">
        <v>0</v>
      </c>
      <c r="H150" s="21" t="s">
        <v>1185</v>
      </c>
      <c r="I150" s="21" t="s">
        <v>79</v>
      </c>
      <c r="J150" s="21" t="s">
        <v>0</v>
      </c>
      <c r="K150" s="21" t="s">
        <v>7</v>
      </c>
      <c r="L150" s="21">
        <v>594</v>
      </c>
      <c r="M150" s="21">
        <v>16</v>
      </c>
      <c r="P150" s="21" t="s">
        <v>71</v>
      </c>
      <c r="Q150" s="21" t="s">
        <v>25</v>
      </c>
      <c r="S150" s="21">
        <v>594</v>
      </c>
      <c r="T150" s="21">
        <v>16</v>
      </c>
      <c r="X150" s="21" t="s">
        <v>1318</v>
      </c>
      <c r="Y150" s="21" t="s">
        <v>336</v>
      </c>
      <c r="AB150" s="21" t="s">
        <v>337</v>
      </c>
      <c r="AG150" s="21" t="s">
        <v>330</v>
      </c>
    </row>
    <row r="151" spans="1:36" x14ac:dyDescent="0.35">
      <c r="A151" s="21">
        <v>150</v>
      </c>
      <c r="B151" s="20">
        <f>_xlfn.XLOOKUP(C151, csl_deposits!B:B, csl_deposits!A:A, "NA", 0,1)</f>
        <v>64</v>
      </c>
      <c r="C151" s="21" t="s">
        <v>817</v>
      </c>
      <c r="D151" s="21" t="s">
        <v>1506</v>
      </c>
      <c r="E151" s="21" t="s">
        <v>1190</v>
      </c>
      <c r="G151" s="21" t="s">
        <v>1</v>
      </c>
      <c r="H151" s="21" t="s">
        <v>1185</v>
      </c>
      <c r="I151" s="21" t="s">
        <v>1516</v>
      </c>
      <c r="J151" s="21" t="s">
        <v>1</v>
      </c>
      <c r="K151" s="21" t="s">
        <v>7</v>
      </c>
      <c r="L151" s="21">
        <v>578</v>
      </c>
      <c r="M151" s="21">
        <v>4.3</v>
      </c>
      <c r="P151" s="21" t="s">
        <v>71</v>
      </c>
      <c r="Q151" s="21" t="s">
        <v>9</v>
      </c>
      <c r="S151" s="21">
        <v>578</v>
      </c>
      <c r="T151" s="21">
        <v>4.3</v>
      </c>
      <c r="W151" s="21">
        <v>2.4</v>
      </c>
      <c r="X151" s="21" t="s">
        <v>1517</v>
      </c>
      <c r="Y151" s="22"/>
      <c r="Z151" s="21" t="s">
        <v>329</v>
      </c>
      <c r="AB151" s="21" t="s">
        <v>333</v>
      </c>
      <c r="AG151" s="21" t="s">
        <v>330</v>
      </c>
    </row>
    <row r="152" spans="1:36" x14ac:dyDescent="0.35">
      <c r="A152" s="21">
        <v>151</v>
      </c>
      <c r="B152" s="20">
        <f>_xlfn.XLOOKUP(C152, csl_deposits!B:B, csl_deposits!A:A, "NA", 0,1)</f>
        <v>65</v>
      </c>
      <c r="C152" s="21" t="s">
        <v>821</v>
      </c>
      <c r="E152" s="21" t="s">
        <v>1190</v>
      </c>
      <c r="G152" s="21" t="s">
        <v>1</v>
      </c>
      <c r="H152" s="21" t="s">
        <v>1185</v>
      </c>
      <c r="I152" s="21" t="s">
        <v>332</v>
      </c>
      <c r="J152" s="21" t="s">
        <v>13</v>
      </c>
      <c r="K152" s="21" t="s">
        <v>158</v>
      </c>
      <c r="L152" s="21">
        <v>538</v>
      </c>
      <c r="M152" s="21">
        <v>30</v>
      </c>
      <c r="Q152" s="21" t="s">
        <v>159</v>
      </c>
      <c r="S152" s="21">
        <v>538</v>
      </c>
      <c r="T152" s="21">
        <v>30</v>
      </c>
      <c r="X152" s="21" t="s">
        <v>1447</v>
      </c>
      <c r="Z152" s="21" t="s">
        <v>338</v>
      </c>
      <c r="AD152" s="21" t="s">
        <v>1445</v>
      </c>
      <c r="AF152" s="21" t="s">
        <v>1444</v>
      </c>
      <c r="AG152" s="21" t="s">
        <v>1440</v>
      </c>
      <c r="AH152" s="21" t="s">
        <v>1442</v>
      </c>
      <c r="AI152" s="21" t="s">
        <v>1437</v>
      </c>
      <c r="AJ152" s="21" t="s">
        <v>22</v>
      </c>
    </row>
    <row r="153" spans="1:36" x14ac:dyDescent="0.35">
      <c r="A153" s="21">
        <v>152</v>
      </c>
      <c r="B153" s="20">
        <f>_xlfn.XLOOKUP(C153, csl_deposits!B:B, csl_deposits!A:A, "NA", 0,1)</f>
        <v>65</v>
      </c>
      <c r="C153" s="21" t="s">
        <v>821</v>
      </c>
      <c r="E153" s="21" t="s">
        <v>1184</v>
      </c>
      <c r="G153" s="21" t="s">
        <v>0</v>
      </c>
      <c r="H153" s="21" t="s">
        <v>1185</v>
      </c>
      <c r="I153" s="21" t="s">
        <v>115</v>
      </c>
      <c r="J153" s="21" t="s">
        <v>0</v>
      </c>
      <c r="K153" s="21" t="s">
        <v>158</v>
      </c>
      <c r="L153" s="21">
        <v>560</v>
      </c>
      <c r="M153" s="21">
        <v>10</v>
      </c>
      <c r="Q153" s="21" t="s">
        <v>159</v>
      </c>
      <c r="S153" s="21">
        <v>560</v>
      </c>
      <c r="T153" s="21">
        <v>10</v>
      </c>
      <c r="X153" s="21" t="s">
        <v>1446</v>
      </c>
      <c r="AG153" s="21" t="s">
        <v>1451</v>
      </c>
      <c r="AH153" s="21" t="s">
        <v>1448</v>
      </c>
      <c r="AI153" s="21" t="s">
        <v>1437</v>
      </c>
      <c r="AJ153" s="21" t="s">
        <v>22</v>
      </c>
    </row>
    <row r="154" spans="1:36" x14ac:dyDescent="0.35">
      <c r="A154" s="21">
        <v>153</v>
      </c>
      <c r="B154" s="20">
        <f>_xlfn.XLOOKUP(C154, csl_deposits!B:B, csl_deposits!A:A, "NA", 0,1)</f>
        <v>66</v>
      </c>
      <c r="C154" s="21" t="s">
        <v>826</v>
      </c>
      <c r="E154" s="21" t="s">
        <v>1190</v>
      </c>
      <c r="F154" s="21" t="s">
        <v>1319</v>
      </c>
      <c r="G154" s="21" t="s">
        <v>1</v>
      </c>
      <c r="H154" s="21" t="s">
        <v>1191</v>
      </c>
      <c r="J154" s="21" t="s">
        <v>1</v>
      </c>
      <c r="L154" s="21">
        <v>538.79999999999995</v>
      </c>
      <c r="AB154" s="21" t="s">
        <v>1193</v>
      </c>
      <c r="AG154" s="21" t="s">
        <v>22</v>
      </c>
    </row>
    <row r="155" spans="1:36" x14ac:dyDescent="0.35">
      <c r="A155" s="21">
        <v>154</v>
      </c>
      <c r="B155" s="20">
        <f>_xlfn.XLOOKUP(C155, csl_deposits!B:B, csl_deposits!A:A, "NA", 0,1)</f>
        <v>66</v>
      </c>
      <c r="C155" s="21" t="s">
        <v>826</v>
      </c>
      <c r="D155" s="21" t="s">
        <v>23</v>
      </c>
      <c r="E155" s="21" t="s">
        <v>1184</v>
      </c>
      <c r="F155" s="21" t="s">
        <v>1320</v>
      </c>
      <c r="H155" s="21" t="s">
        <v>1185</v>
      </c>
      <c r="I155" s="21" t="s">
        <v>24</v>
      </c>
      <c r="J155" s="21" t="s">
        <v>0</v>
      </c>
      <c r="K155" s="21" t="s">
        <v>7</v>
      </c>
      <c r="L155" s="21">
        <v>629</v>
      </c>
      <c r="M155" s="21">
        <v>8</v>
      </c>
      <c r="P155" s="21" t="s">
        <v>14</v>
      </c>
      <c r="Q155" s="21" t="s">
        <v>25</v>
      </c>
      <c r="S155" s="21">
        <v>629</v>
      </c>
      <c r="T155" s="21">
        <v>8</v>
      </c>
      <c r="X155" s="21" t="s">
        <v>1194</v>
      </c>
      <c r="AB155" s="21" t="s">
        <v>26</v>
      </c>
      <c r="AG155" s="21" t="s">
        <v>27</v>
      </c>
    </row>
    <row r="156" spans="1:36" x14ac:dyDescent="0.35">
      <c r="A156" s="21">
        <v>155</v>
      </c>
      <c r="B156" s="20">
        <f>_xlfn.XLOOKUP(C156, csl_deposits!B:B, csl_deposits!A:A, "NA", 0,1)</f>
        <v>67</v>
      </c>
      <c r="C156" s="21" t="s">
        <v>831</v>
      </c>
      <c r="E156" s="21" t="s">
        <v>1190</v>
      </c>
      <c r="F156" s="21" t="s">
        <v>1321</v>
      </c>
      <c r="G156" s="21" t="s">
        <v>1</v>
      </c>
      <c r="H156" s="21" t="s">
        <v>1208</v>
      </c>
      <c r="J156" s="21" t="s">
        <v>1</v>
      </c>
      <c r="L156" s="21">
        <v>702</v>
      </c>
      <c r="Z156" s="21" t="s">
        <v>832</v>
      </c>
      <c r="AB156" s="21" t="s">
        <v>767</v>
      </c>
      <c r="AG156" s="21" t="s">
        <v>1114</v>
      </c>
      <c r="AH156" s="21" t="s">
        <v>279</v>
      </c>
    </row>
    <row r="157" spans="1:36" x14ac:dyDescent="0.35">
      <c r="A157" s="21">
        <v>156</v>
      </c>
      <c r="B157" s="20">
        <f>_xlfn.XLOOKUP(C157, csl_deposits!B:B, csl_deposits!A:A, "NA", 0,1)</f>
        <v>67</v>
      </c>
      <c r="C157" s="21" t="s">
        <v>831</v>
      </c>
      <c r="E157" s="21" t="s">
        <v>1190</v>
      </c>
      <c r="F157" s="21" t="s">
        <v>1243</v>
      </c>
      <c r="G157" s="21" t="s">
        <v>1</v>
      </c>
      <c r="H157" s="21" t="s">
        <v>1185</v>
      </c>
      <c r="I157" s="21" t="s">
        <v>31</v>
      </c>
      <c r="J157" s="21" t="s">
        <v>13</v>
      </c>
      <c r="K157" s="21" t="s">
        <v>7</v>
      </c>
      <c r="L157" s="21">
        <v>571</v>
      </c>
      <c r="M157" s="21">
        <v>1</v>
      </c>
      <c r="P157" s="21" t="s">
        <v>125</v>
      </c>
      <c r="Q157" s="21" t="s">
        <v>9</v>
      </c>
      <c r="S157" s="21">
        <v>571</v>
      </c>
      <c r="T157" s="21">
        <v>1</v>
      </c>
      <c r="X157" s="21" t="s">
        <v>1242</v>
      </c>
      <c r="Y157" s="21" t="s">
        <v>116</v>
      </c>
      <c r="AB157" s="21" t="s">
        <v>126</v>
      </c>
      <c r="AG157" s="21" t="s">
        <v>127</v>
      </c>
      <c r="AH157" s="21" t="s">
        <v>128</v>
      </c>
    </row>
    <row r="158" spans="1:36" x14ac:dyDescent="0.35">
      <c r="A158" s="21">
        <v>157</v>
      </c>
      <c r="B158" s="20">
        <f>_xlfn.XLOOKUP(C158, csl_deposits!B:B, csl_deposits!A:A, "NA", 0,1)</f>
        <v>68</v>
      </c>
      <c r="C158" s="21" t="s">
        <v>835</v>
      </c>
      <c r="E158" s="21" t="s">
        <v>1190</v>
      </c>
      <c r="F158" s="21" t="s">
        <v>1036</v>
      </c>
      <c r="G158" s="21" t="s">
        <v>1</v>
      </c>
      <c r="H158" s="21" t="s">
        <v>1185</v>
      </c>
      <c r="I158" s="21" t="s">
        <v>28</v>
      </c>
      <c r="J158" s="21" t="s">
        <v>13</v>
      </c>
      <c r="K158" s="21" t="s">
        <v>298</v>
      </c>
      <c r="L158" s="21">
        <v>596</v>
      </c>
      <c r="M158" s="21">
        <v>26</v>
      </c>
      <c r="P158" s="21" t="s">
        <v>125</v>
      </c>
      <c r="Q158" s="21" t="s">
        <v>28</v>
      </c>
      <c r="S158" s="21">
        <v>596</v>
      </c>
      <c r="T158" s="21">
        <v>26</v>
      </c>
      <c r="X158" s="21" t="s">
        <v>1061</v>
      </c>
      <c r="Z158" s="21" t="s">
        <v>340</v>
      </c>
      <c r="AB158" s="21" t="s">
        <v>341</v>
      </c>
      <c r="AE158" s="21" t="s">
        <v>342</v>
      </c>
      <c r="AF158" s="21" t="s">
        <v>921</v>
      </c>
      <c r="AG158" s="21" t="s">
        <v>343</v>
      </c>
      <c r="AH158" s="21" t="s">
        <v>344</v>
      </c>
      <c r="AI158" s="21" t="s">
        <v>345</v>
      </c>
    </row>
    <row r="159" spans="1:36" x14ac:dyDescent="0.35">
      <c r="A159" s="21">
        <v>158</v>
      </c>
      <c r="B159" s="20">
        <f>_xlfn.XLOOKUP(C159, csl_deposits!B:B, csl_deposits!A:A, "NA", 0,1)</f>
        <v>68</v>
      </c>
      <c r="C159" s="21" t="s">
        <v>835</v>
      </c>
      <c r="E159" s="21" t="s">
        <v>1184</v>
      </c>
      <c r="F159" s="21" t="s">
        <v>1036</v>
      </c>
      <c r="G159" s="21" t="s">
        <v>0</v>
      </c>
      <c r="H159" s="21" t="s">
        <v>1185</v>
      </c>
      <c r="I159" s="21" t="s">
        <v>28</v>
      </c>
      <c r="J159" s="21" t="s">
        <v>13</v>
      </c>
      <c r="K159" s="21" t="s">
        <v>298</v>
      </c>
      <c r="L159" s="24">
        <v>627</v>
      </c>
      <c r="M159" s="24">
        <v>32</v>
      </c>
      <c r="P159" s="21" t="s">
        <v>125</v>
      </c>
      <c r="Q159" s="21" t="s">
        <v>28</v>
      </c>
      <c r="R159" s="22"/>
      <c r="S159" s="24">
        <v>627</v>
      </c>
      <c r="T159" s="24">
        <v>32</v>
      </c>
      <c r="X159" s="21" t="s">
        <v>1072</v>
      </c>
      <c r="AB159" s="21" t="s">
        <v>346</v>
      </c>
      <c r="AD159" s="21" t="s">
        <v>347</v>
      </c>
      <c r="AE159" s="21" t="s">
        <v>342</v>
      </c>
      <c r="AF159" s="21" t="s">
        <v>921</v>
      </c>
      <c r="AG159" s="21" t="s">
        <v>344</v>
      </c>
      <c r="AH159" s="21" t="s">
        <v>345</v>
      </c>
    </row>
    <row r="160" spans="1:36" x14ac:dyDescent="0.35">
      <c r="A160" s="21">
        <v>159</v>
      </c>
      <c r="B160" s="20">
        <f>_xlfn.XLOOKUP(C160, csl_deposits!B:B, csl_deposits!A:A, "NA", 0,1)</f>
        <v>68</v>
      </c>
      <c r="C160" s="21" t="s">
        <v>835</v>
      </c>
      <c r="D160" s="21" t="s">
        <v>348</v>
      </c>
      <c r="E160" s="21" t="s">
        <v>1188</v>
      </c>
      <c r="F160" s="22"/>
      <c r="G160" s="21" t="s">
        <v>0</v>
      </c>
      <c r="H160" s="21" t="s">
        <v>1185</v>
      </c>
      <c r="I160" s="21" t="s">
        <v>24</v>
      </c>
      <c r="J160" s="21" t="s">
        <v>0</v>
      </c>
      <c r="K160" s="21" t="s">
        <v>7</v>
      </c>
      <c r="L160" s="21">
        <v>646</v>
      </c>
      <c r="P160" s="21" t="s">
        <v>14</v>
      </c>
      <c r="Q160" s="21" t="s">
        <v>25</v>
      </c>
      <c r="S160" s="21">
        <v>646</v>
      </c>
      <c r="X160" s="21" t="s">
        <v>1322</v>
      </c>
      <c r="AB160" s="21" t="s">
        <v>346</v>
      </c>
      <c r="AD160" s="21" t="s">
        <v>347</v>
      </c>
      <c r="AE160" s="21" t="s">
        <v>342</v>
      </c>
      <c r="AG160" s="21" t="s">
        <v>349</v>
      </c>
      <c r="AH160" s="21" t="s">
        <v>350</v>
      </c>
    </row>
    <row r="161" spans="1:34" x14ac:dyDescent="0.35">
      <c r="A161" s="21">
        <v>160</v>
      </c>
      <c r="B161" s="20">
        <f>_xlfn.XLOOKUP(C161, csl_deposits!B:B, csl_deposits!A:A, "NA", 0,1)</f>
        <v>72</v>
      </c>
      <c r="C161" s="21" t="s">
        <v>351</v>
      </c>
      <c r="D161" s="21" t="s">
        <v>352</v>
      </c>
      <c r="E161" s="21" t="s">
        <v>1190</v>
      </c>
      <c r="F161" s="21" t="s">
        <v>1036</v>
      </c>
      <c r="G161" s="21" t="s">
        <v>1</v>
      </c>
      <c r="H161" s="21" t="s">
        <v>1185</v>
      </c>
      <c r="I161" s="21" t="s">
        <v>88</v>
      </c>
      <c r="J161" s="21" t="s">
        <v>0</v>
      </c>
      <c r="K161" s="21" t="s">
        <v>298</v>
      </c>
      <c r="L161" s="24">
        <v>570</v>
      </c>
      <c r="M161" s="24"/>
      <c r="P161" s="21" t="s">
        <v>125</v>
      </c>
      <c r="Q161" s="21" t="s">
        <v>9</v>
      </c>
      <c r="R161" s="22"/>
      <c r="S161" s="24">
        <v>570</v>
      </c>
      <c r="T161" s="24"/>
      <c r="X161" s="21" t="s">
        <v>1037</v>
      </c>
      <c r="Y161" s="22" t="s">
        <v>353</v>
      </c>
      <c r="Z161" s="21" t="s">
        <v>354</v>
      </c>
      <c r="AB161" s="21" t="s">
        <v>355</v>
      </c>
      <c r="AD161" s="21" t="s">
        <v>356</v>
      </c>
      <c r="AG161" s="21" t="s">
        <v>357</v>
      </c>
    </row>
    <row r="162" spans="1:34" x14ac:dyDescent="0.35">
      <c r="A162" s="21">
        <v>161</v>
      </c>
      <c r="B162" s="20">
        <f>_xlfn.XLOOKUP(C162, csl_deposits!B:B, csl_deposits!A:A, "NA", 0,1)</f>
        <v>72</v>
      </c>
      <c r="C162" s="21" t="s">
        <v>351</v>
      </c>
      <c r="D162" s="21" t="s">
        <v>358</v>
      </c>
      <c r="E162" s="21" t="s">
        <v>1190</v>
      </c>
      <c r="F162" s="21" t="s">
        <v>1036</v>
      </c>
      <c r="H162" s="21" t="s">
        <v>1185</v>
      </c>
      <c r="I162" s="21" t="s">
        <v>359</v>
      </c>
      <c r="J162" s="21" t="s">
        <v>0</v>
      </c>
      <c r="K162" s="21" t="s">
        <v>298</v>
      </c>
      <c r="L162" s="24">
        <v>596</v>
      </c>
      <c r="M162" s="24">
        <v>5</v>
      </c>
      <c r="P162" s="21" t="s">
        <v>125</v>
      </c>
      <c r="Q162" s="21" t="s">
        <v>25</v>
      </c>
      <c r="R162" s="22"/>
      <c r="S162" s="24">
        <v>596</v>
      </c>
      <c r="T162" s="24">
        <v>5</v>
      </c>
      <c r="X162" s="21" t="s">
        <v>1038</v>
      </c>
      <c r="Y162" s="22"/>
      <c r="Z162" s="21" t="s">
        <v>354</v>
      </c>
      <c r="AB162" s="21" t="s">
        <v>355</v>
      </c>
      <c r="AG162" s="21" t="s">
        <v>357</v>
      </c>
    </row>
    <row r="163" spans="1:34" x14ac:dyDescent="0.35">
      <c r="A163" s="21">
        <v>162</v>
      </c>
      <c r="B163" s="20">
        <f>_xlfn.XLOOKUP(C163, csl_deposits!B:B, csl_deposits!A:A, "NA", 0,1)</f>
        <v>72</v>
      </c>
      <c r="C163" s="21" t="s">
        <v>351</v>
      </c>
      <c r="D163" s="21" t="s">
        <v>360</v>
      </c>
      <c r="E163" s="21" t="s">
        <v>1184</v>
      </c>
      <c r="F163" s="21" t="s">
        <v>1036</v>
      </c>
      <c r="G163" s="21" t="s">
        <v>0</v>
      </c>
      <c r="H163" s="21" t="s">
        <v>1185</v>
      </c>
      <c r="I163" s="21" t="s">
        <v>79</v>
      </c>
      <c r="J163" s="21" t="s">
        <v>0</v>
      </c>
      <c r="K163" s="21" t="s">
        <v>298</v>
      </c>
      <c r="L163" s="24">
        <v>593</v>
      </c>
      <c r="M163" s="24">
        <v>3</v>
      </c>
      <c r="P163" s="21" t="s">
        <v>125</v>
      </c>
      <c r="Q163" s="21" t="s">
        <v>25</v>
      </c>
      <c r="R163" s="22"/>
      <c r="S163" s="24">
        <v>593</v>
      </c>
      <c r="T163" s="24">
        <v>3</v>
      </c>
      <c r="W163" s="21">
        <v>0.05</v>
      </c>
      <c r="X163" s="21" t="s">
        <v>1039</v>
      </c>
      <c r="Y163" s="22"/>
      <c r="Z163" s="21" t="s">
        <v>354</v>
      </c>
      <c r="AB163" s="21" t="s">
        <v>362</v>
      </c>
      <c r="AC163" s="21" t="s">
        <v>363</v>
      </c>
      <c r="AD163" s="21" t="s">
        <v>351</v>
      </c>
      <c r="AG163" s="21" t="s">
        <v>357</v>
      </c>
    </row>
    <row r="164" spans="1:34" x14ac:dyDescent="0.35">
      <c r="A164" s="21">
        <v>163</v>
      </c>
      <c r="B164" s="20">
        <f>_xlfn.XLOOKUP(C164, csl_deposits!B:B, csl_deposits!A:A, "NA", 0,1)</f>
        <v>72</v>
      </c>
      <c r="C164" s="21" t="s">
        <v>351</v>
      </c>
      <c r="D164" s="21" t="s">
        <v>364</v>
      </c>
      <c r="E164" s="21" t="s">
        <v>1184</v>
      </c>
      <c r="F164" s="21" t="s">
        <v>1036</v>
      </c>
      <c r="G164" s="21" t="s">
        <v>0</v>
      </c>
      <c r="H164" s="21" t="s">
        <v>1185</v>
      </c>
      <c r="I164" s="21" t="s">
        <v>64</v>
      </c>
      <c r="J164" s="21" t="s">
        <v>0</v>
      </c>
      <c r="K164" s="21" t="s">
        <v>7</v>
      </c>
      <c r="L164" s="24">
        <v>595.5</v>
      </c>
      <c r="M164" s="24">
        <v>2</v>
      </c>
      <c r="P164" s="21" t="s">
        <v>125</v>
      </c>
      <c r="Q164" s="21" t="s">
        <v>25</v>
      </c>
      <c r="R164" s="22"/>
      <c r="S164" s="24">
        <v>595.5</v>
      </c>
      <c r="T164" s="24">
        <v>2</v>
      </c>
      <c r="W164" s="21">
        <v>0.24</v>
      </c>
      <c r="X164" s="21" t="s">
        <v>1040</v>
      </c>
      <c r="Y164" s="22"/>
      <c r="Z164" s="21" t="s">
        <v>354</v>
      </c>
      <c r="AB164" s="21" t="s">
        <v>362</v>
      </c>
      <c r="AC164" s="21" t="s">
        <v>363</v>
      </c>
      <c r="AD164" s="21" t="s">
        <v>351</v>
      </c>
      <c r="AG164" s="21" t="s">
        <v>357</v>
      </c>
    </row>
    <row r="165" spans="1:34" x14ac:dyDescent="0.35">
      <c r="A165" s="21">
        <v>164</v>
      </c>
      <c r="B165" s="20">
        <f>_xlfn.XLOOKUP(C165, csl_deposits!B:B, csl_deposits!A:A, "NA", 0,1)</f>
        <v>72</v>
      </c>
      <c r="C165" s="21" t="s">
        <v>351</v>
      </c>
      <c r="D165" s="21" t="s">
        <v>365</v>
      </c>
      <c r="E165" s="21" t="s">
        <v>1184</v>
      </c>
      <c r="F165" s="21" t="s">
        <v>1036</v>
      </c>
      <c r="G165" s="21" t="s">
        <v>0</v>
      </c>
      <c r="H165" s="21" t="s">
        <v>1185</v>
      </c>
      <c r="I165" s="21" t="s">
        <v>64</v>
      </c>
      <c r="J165" s="21" t="s">
        <v>0</v>
      </c>
      <c r="K165" s="21" t="s">
        <v>7</v>
      </c>
      <c r="L165" s="24">
        <v>600</v>
      </c>
      <c r="M165" s="24">
        <v>1</v>
      </c>
      <c r="P165" s="21" t="s">
        <v>125</v>
      </c>
      <c r="Q165" s="21" t="s">
        <v>25</v>
      </c>
      <c r="R165" s="22"/>
      <c r="S165" s="24">
        <v>600</v>
      </c>
      <c r="T165" s="24">
        <v>1</v>
      </c>
      <c r="W165" s="21">
        <v>0.36</v>
      </c>
      <c r="X165" s="21" t="s">
        <v>1041</v>
      </c>
      <c r="Y165" s="22"/>
      <c r="Z165" s="21" t="s">
        <v>354</v>
      </c>
      <c r="AB165" s="21" t="s">
        <v>362</v>
      </c>
      <c r="AC165" s="21" t="s">
        <v>363</v>
      </c>
      <c r="AD165" s="21" t="s">
        <v>351</v>
      </c>
      <c r="AG165" s="21" t="s">
        <v>357</v>
      </c>
    </row>
    <row r="166" spans="1:34" x14ac:dyDescent="0.35">
      <c r="A166" s="21">
        <v>165</v>
      </c>
      <c r="B166" s="20">
        <f>_xlfn.XLOOKUP(C166, csl_deposits!B:B, csl_deposits!A:A, "NA", 0,1)</f>
        <v>72</v>
      </c>
      <c r="C166" s="21" t="s">
        <v>351</v>
      </c>
      <c r="D166" s="21" t="s">
        <v>366</v>
      </c>
      <c r="E166" s="21" t="s">
        <v>1184</v>
      </c>
      <c r="F166" s="21" t="s">
        <v>1036</v>
      </c>
      <c r="G166" s="21" t="s">
        <v>0</v>
      </c>
      <c r="H166" s="21" t="s">
        <v>1185</v>
      </c>
      <c r="I166" s="21" t="s">
        <v>64</v>
      </c>
      <c r="J166" s="21" t="s">
        <v>0</v>
      </c>
      <c r="K166" s="21" t="s">
        <v>7</v>
      </c>
      <c r="L166" s="24">
        <v>610</v>
      </c>
      <c r="M166" s="24">
        <v>2</v>
      </c>
      <c r="P166" s="21" t="s">
        <v>125</v>
      </c>
      <c r="Q166" s="21" t="s">
        <v>25</v>
      </c>
      <c r="R166" s="22"/>
      <c r="S166" s="24">
        <v>610</v>
      </c>
      <c r="T166" s="24">
        <v>2</v>
      </c>
      <c r="W166" s="21">
        <v>0.01</v>
      </c>
      <c r="X166" s="21" t="s">
        <v>1042</v>
      </c>
      <c r="Y166" s="22"/>
      <c r="Z166" s="21" t="s">
        <v>354</v>
      </c>
      <c r="AB166" s="21" t="s">
        <v>362</v>
      </c>
      <c r="AC166" s="21" t="s">
        <v>363</v>
      </c>
      <c r="AD166" s="21" t="s">
        <v>351</v>
      </c>
      <c r="AG166" s="21" t="s">
        <v>357</v>
      </c>
    </row>
    <row r="167" spans="1:34" x14ac:dyDescent="0.35">
      <c r="A167" s="21">
        <v>166</v>
      </c>
      <c r="B167" s="20">
        <f>_xlfn.XLOOKUP(C167, csl_deposits!B:B, csl_deposits!A:A, "NA", 0,1)</f>
        <v>73</v>
      </c>
      <c r="C167" s="21" t="s">
        <v>855</v>
      </c>
      <c r="E167" s="21" t="s">
        <v>1184</v>
      </c>
      <c r="F167" s="21" t="s">
        <v>1324</v>
      </c>
      <c r="H167" s="21" t="s">
        <v>1022</v>
      </c>
      <c r="I167" s="21" t="s">
        <v>28</v>
      </c>
      <c r="J167" s="21" t="s">
        <v>0</v>
      </c>
      <c r="K167" s="21" t="s">
        <v>1198</v>
      </c>
      <c r="L167" s="24">
        <v>574</v>
      </c>
      <c r="M167" s="24">
        <v>4.7</v>
      </c>
      <c r="N167" s="21" t="s">
        <v>1007</v>
      </c>
      <c r="O167" s="21" t="s">
        <v>1199</v>
      </c>
      <c r="R167" s="22"/>
      <c r="S167" s="24"/>
      <c r="T167" s="24"/>
      <c r="Y167" s="22"/>
      <c r="Z167" s="21" t="s">
        <v>246</v>
      </c>
      <c r="AB167" s="21" t="s">
        <v>1278</v>
      </c>
      <c r="AF167" s="21" t="s">
        <v>1277</v>
      </c>
      <c r="AG167" s="21" t="s">
        <v>245</v>
      </c>
    </row>
    <row r="168" spans="1:34" x14ac:dyDescent="0.35">
      <c r="A168" s="21">
        <v>167</v>
      </c>
      <c r="B168" s="20">
        <f>_xlfn.XLOOKUP(C168, csl_deposits!B:B, csl_deposits!A:A, "NA", 0,1)</f>
        <v>73</v>
      </c>
      <c r="C168" s="21" t="s">
        <v>855</v>
      </c>
      <c r="E168" s="21" t="s">
        <v>1184</v>
      </c>
      <c r="F168" s="21" t="s">
        <v>1324</v>
      </c>
      <c r="H168" s="21" t="s">
        <v>1022</v>
      </c>
      <c r="I168" s="21" t="s">
        <v>28</v>
      </c>
      <c r="J168" s="21" t="s">
        <v>0</v>
      </c>
      <c r="K168" s="21" t="s">
        <v>1198</v>
      </c>
      <c r="L168" s="24">
        <v>574</v>
      </c>
      <c r="M168" s="24">
        <v>4.7</v>
      </c>
      <c r="N168" s="21" t="s">
        <v>1007</v>
      </c>
      <c r="O168" s="21" t="s">
        <v>1199</v>
      </c>
      <c r="R168" s="22"/>
      <c r="S168" s="24"/>
      <c r="T168" s="24"/>
      <c r="Y168" s="22"/>
      <c r="Z168" s="21" t="s">
        <v>246</v>
      </c>
      <c r="AB168" s="21" t="s">
        <v>1279</v>
      </c>
      <c r="AF168" s="21" t="s">
        <v>1277</v>
      </c>
      <c r="AG168" s="21" t="s">
        <v>245</v>
      </c>
    </row>
    <row r="169" spans="1:34" x14ac:dyDescent="0.35">
      <c r="A169" s="21">
        <v>168</v>
      </c>
      <c r="B169" s="20">
        <f>_xlfn.XLOOKUP(C169, csl_deposits!B:B, csl_deposits!A:A, "NA", 0,1)</f>
        <v>73</v>
      </c>
      <c r="C169" s="21" t="s">
        <v>855</v>
      </c>
      <c r="E169" s="21" t="s">
        <v>1188</v>
      </c>
      <c r="F169" s="21" t="s">
        <v>1324</v>
      </c>
      <c r="H169" s="21" t="s">
        <v>1022</v>
      </c>
      <c r="I169" s="21" t="s">
        <v>28</v>
      </c>
      <c r="J169" s="21" t="s">
        <v>0</v>
      </c>
      <c r="K169" s="21" t="s">
        <v>1198</v>
      </c>
      <c r="L169" s="24">
        <v>574</v>
      </c>
      <c r="M169" s="24">
        <v>4.7</v>
      </c>
      <c r="N169" s="21" t="s">
        <v>1007</v>
      </c>
      <c r="O169" s="21" t="s">
        <v>1323</v>
      </c>
      <c r="R169" s="22"/>
      <c r="S169" s="24"/>
      <c r="T169" s="24"/>
      <c r="Y169" s="22"/>
      <c r="Z169" s="21" t="s">
        <v>241</v>
      </c>
      <c r="AB169" s="21" t="s">
        <v>1076</v>
      </c>
      <c r="AD169" s="21" t="s">
        <v>1276</v>
      </c>
      <c r="AF169" s="21" t="s">
        <v>1277</v>
      </c>
      <c r="AG169" s="21" t="s">
        <v>245</v>
      </c>
    </row>
    <row r="170" spans="1:34" x14ac:dyDescent="0.35">
      <c r="A170" s="21">
        <v>169</v>
      </c>
      <c r="B170" s="20">
        <f>_xlfn.XLOOKUP(C170, csl_deposits!B:B, csl_deposits!A:A, "NA", 0,1)</f>
        <v>73</v>
      </c>
      <c r="C170" s="21" t="s">
        <v>855</v>
      </c>
      <c r="D170" s="21" t="s">
        <v>238</v>
      </c>
      <c r="E170" s="21" t="s">
        <v>1190</v>
      </c>
      <c r="F170" s="21" t="s">
        <v>1073</v>
      </c>
      <c r="G170" s="21" t="s">
        <v>1</v>
      </c>
      <c r="H170" s="21" t="s">
        <v>1185</v>
      </c>
      <c r="I170" s="21" t="s">
        <v>88</v>
      </c>
      <c r="J170" s="21" t="s">
        <v>13</v>
      </c>
      <c r="K170" s="21" t="s">
        <v>7</v>
      </c>
      <c r="L170" s="24">
        <v>567.20000000000005</v>
      </c>
      <c r="M170" s="24">
        <v>3.9</v>
      </c>
      <c r="P170" s="21" t="s">
        <v>240</v>
      </c>
      <c r="Q170" s="21" t="s">
        <v>9</v>
      </c>
      <c r="R170" s="22"/>
      <c r="S170" s="24">
        <v>567.20000000000005</v>
      </c>
      <c r="T170" s="24">
        <v>3.9</v>
      </c>
      <c r="W170" s="21">
        <v>1.1399999999999999</v>
      </c>
      <c r="X170" s="21" t="s">
        <v>1074</v>
      </c>
      <c r="Y170" s="22"/>
      <c r="Z170" s="21" t="s">
        <v>241</v>
      </c>
      <c r="AB170" s="21" t="s">
        <v>242</v>
      </c>
      <c r="AF170" s="21" t="s">
        <v>1274</v>
      </c>
      <c r="AG170" s="21" t="s">
        <v>243</v>
      </c>
      <c r="AH170" s="21" t="s">
        <v>244</v>
      </c>
    </row>
    <row r="171" spans="1:34" x14ac:dyDescent="0.35">
      <c r="A171" s="21">
        <v>170</v>
      </c>
      <c r="B171" s="20">
        <f>_xlfn.XLOOKUP(C171, csl_deposits!B:B, csl_deposits!A:A, "NA", 0,1)</f>
        <v>73</v>
      </c>
      <c r="C171" s="21" t="s">
        <v>855</v>
      </c>
      <c r="D171" s="21" t="s">
        <v>247</v>
      </c>
      <c r="E171" s="21" t="s">
        <v>1184</v>
      </c>
      <c r="F171" s="21" t="s">
        <v>1073</v>
      </c>
      <c r="G171" s="21" t="s">
        <v>0</v>
      </c>
      <c r="H171" s="21" t="s">
        <v>1185</v>
      </c>
      <c r="I171" s="21" t="s">
        <v>248</v>
      </c>
      <c r="J171" s="21" t="s">
        <v>13</v>
      </c>
      <c r="K171" s="21" t="s">
        <v>7</v>
      </c>
      <c r="L171" s="24">
        <v>598.1</v>
      </c>
      <c r="M171" s="24">
        <v>6</v>
      </c>
      <c r="P171" s="21" t="s">
        <v>14</v>
      </c>
      <c r="Q171" s="21" t="s">
        <v>9</v>
      </c>
      <c r="R171" s="22"/>
      <c r="S171" s="24">
        <v>598.1</v>
      </c>
      <c r="T171" s="24">
        <v>6</v>
      </c>
      <c r="W171" s="21">
        <v>1.3</v>
      </c>
      <c r="X171" s="21" t="s">
        <v>1077</v>
      </c>
      <c r="Y171" s="22"/>
      <c r="Z171" s="21" t="s">
        <v>246</v>
      </c>
      <c r="AB171" s="21" t="s">
        <v>249</v>
      </c>
      <c r="AF171" s="21" t="s">
        <v>1274</v>
      </c>
      <c r="AG171" s="21" t="s">
        <v>244</v>
      </c>
    </row>
    <row r="172" spans="1:34" x14ac:dyDescent="0.35">
      <c r="A172" s="21">
        <v>171</v>
      </c>
      <c r="B172" s="20">
        <f>_xlfn.XLOOKUP(C172, csl_deposits!B:B, csl_deposits!A:A, "NA", 0,1)</f>
        <v>75</v>
      </c>
      <c r="C172" s="21" t="s">
        <v>863</v>
      </c>
      <c r="D172" s="21" t="s">
        <v>367</v>
      </c>
      <c r="E172" s="21" t="s">
        <v>1184</v>
      </c>
      <c r="G172" s="21" t="s">
        <v>0</v>
      </c>
      <c r="H172" s="21" t="s">
        <v>1185</v>
      </c>
      <c r="I172" s="21" t="s">
        <v>79</v>
      </c>
      <c r="J172" s="21" t="s">
        <v>0</v>
      </c>
      <c r="K172" s="21" t="s">
        <v>7</v>
      </c>
      <c r="L172" s="21">
        <v>592</v>
      </c>
      <c r="M172" s="21">
        <v>5</v>
      </c>
      <c r="P172" s="21" t="s">
        <v>14</v>
      </c>
      <c r="Q172" s="21" t="s">
        <v>25</v>
      </c>
      <c r="R172" s="22"/>
      <c r="S172" s="21">
        <v>592</v>
      </c>
      <c r="T172" s="21">
        <v>5</v>
      </c>
      <c r="W172" s="21">
        <v>0.68</v>
      </c>
      <c r="X172" s="21" t="s">
        <v>1325</v>
      </c>
      <c r="Y172" s="22"/>
      <c r="AB172" s="21" t="s">
        <v>369</v>
      </c>
      <c r="AE172" s="21" t="s">
        <v>370</v>
      </c>
      <c r="AG172" s="21" t="s">
        <v>371</v>
      </c>
    </row>
    <row r="173" spans="1:34" x14ac:dyDescent="0.35">
      <c r="A173" s="21">
        <v>172</v>
      </c>
      <c r="B173" s="20">
        <f>_xlfn.XLOOKUP(C173, csl_deposits!B:B, csl_deposits!A:A, "NA", 0,1)</f>
        <v>76</v>
      </c>
      <c r="C173" s="21" t="s">
        <v>866</v>
      </c>
      <c r="E173" s="21" t="s">
        <v>1190</v>
      </c>
      <c r="F173" s="21" t="s">
        <v>1275</v>
      </c>
      <c r="H173" s="21" t="s">
        <v>1022</v>
      </c>
      <c r="I173" s="21" t="s">
        <v>28</v>
      </c>
      <c r="J173" s="21" t="s">
        <v>1</v>
      </c>
      <c r="K173" s="21" t="s">
        <v>1198</v>
      </c>
      <c r="L173" s="24">
        <v>574</v>
      </c>
      <c r="M173" s="24">
        <v>4.7</v>
      </c>
      <c r="N173" s="21" t="s">
        <v>1007</v>
      </c>
      <c r="O173" s="21" t="s">
        <v>1206</v>
      </c>
      <c r="R173" s="22"/>
      <c r="S173" s="24"/>
      <c r="T173" s="24"/>
      <c r="Y173" s="22"/>
      <c r="Z173" s="21" t="s">
        <v>241</v>
      </c>
      <c r="AB173" s="21" t="s">
        <v>1076</v>
      </c>
      <c r="AD173" s="21" t="s">
        <v>1276</v>
      </c>
      <c r="AF173" s="21" t="s">
        <v>1277</v>
      </c>
      <c r="AG173" s="21" t="s">
        <v>245</v>
      </c>
    </row>
    <row r="174" spans="1:34" x14ac:dyDescent="0.35">
      <c r="A174" s="21">
        <v>173</v>
      </c>
      <c r="B174" s="20">
        <f>_xlfn.XLOOKUP(C174, csl_deposits!B:B, csl_deposits!A:A, "NA", 0,1)</f>
        <v>76</v>
      </c>
      <c r="C174" s="21" t="s">
        <v>866</v>
      </c>
      <c r="E174" s="21" t="s">
        <v>1190</v>
      </c>
      <c r="F174" s="21" t="s">
        <v>1275</v>
      </c>
      <c r="H174" s="21" t="s">
        <v>1022</v>
      </c>
      <c r="I174" s="21" t="s">
        <v>28</v>
      </c>
      <c r="J174" s="21" t="s">
        <v>1</v>
      </c>
      <c r="K174" s="21" t="s">
        <v>1198</v>
      </c>
      <c r="L174" s="24">
        <v>574</v>
      </c>
      <c r="M174" s="24">
        <v>4.7</v>
      </c>
      <c r="N174" s="21" t="s">
        <v>1007</v>
      </c>
      <c r="O174" s="21" t="s">
        <v>1206</v>
      </c>
      <c r="R174" s="22"/>
      <c r="S174" s="24"/>
      <c r="T174" s="24"/>
      <c r="Y174" s="22"/>
      <c r="Z174" s="21" t="s">
        <v>246</v>
      </c>
      <c r="AB174" s="21" t="s">
        <v>1278</v>
      </c>
      <c r="AF174" s="21" t="s">
        <v>1277</v>
      </c>
      <c r="AG174" s="21" t="s">
        <v>245</v>
      </c>
    </row>
    <row r="175" spans="1:34" x14ac:dyDescent="0.35">
      <c r="A175" s="21">
        <v>174</v>
      </c>
      <c r="B175" s="20">
        <f>_xlfn.XLOOKUP(C175, csl_deposits!B:B, csl_deposits!A:A, "NA", 0,1)</f>
        <v>76</v>
      </c>
      <c r="C175" s="21" t="s">
        <v>866</v>
      </c>
      <c r="E175" s="21" t="s">
        <v>1190</v>
      </c>
      <c r="F175" s="21" t="s">
        <v>1275</v>
      </c>
      <c r="H175" s="21" t="s">
        <v>1022</v>
      </c>
      <c r="I175" s="21" t="s">
        <v>28</v>
      </c>
      <c r="J175" s="21" t="s">
        <v>1</v>
      </c>
      <c r="K175" s="21" t="s">
        <v>1198</v>
      </c>
      <c r="L175" s="24">
        <v>574</v>
      </c>
      <c r="M175" s="24">
        <v>4.7</v>
      </c>
      <c r="N175" s="21" t="s">
        <v>1007</v>
      </c>
      <c r="O175" s="21" t="s">
        <v>1206</v>
      </c>
      <c r="R175" s="22"/>
      <c r="S175" s="24"/>
      <c r="T175" s="24"/>
      <c r="Y175" s="22"/>
      <c r="Z175" s="21" t="s">
        <v>246</v>
      </c>
      <c r="AB175" s="21" t="s">
        <v>1279</v>
      </c>
      <c r="AF175" s="21" t="s">
        <v>1277</v>
      </c>
      <c r="AG175" s="21" t="s">
        <v>245</v>
      </c>
    </row>
    <row r="176" spans="1:34" x14ac:dyDescent="0.35">
      <c r="A176" s="21">
        <v>175</v>
      </c>
      <c r="B176" s="20">
        <f>_xlfn.XLOOKUP(C176, csl_deposits!B:B, csl_deposits!A:A, "NA", 0,1)</f>
        <v>76</v>
      </c>
      <c r="C176" s="21" t="s">
        <v>866</v>
      </c>
      <c r="D176" s="21" t="s">
        <v>238</v>
      </c>
      <c r="E176" s="21" t="s">
        <v>1190</v>
      </c>
      <c r="F176" s="21" t="s">
        <v>1073</v>
      </c>
      <c r="G176" s="21" t="s">
        <v>1</v>
      </c>
      <c r="H176" s="21" t="s">
        <v>1185</v>
      </c>
      <c r="I176" s="21" t="s">
        <v>88</v>
      </c>
      <c r="J176" s="21" t="s">
        <v>13</v>
      </c>
      <c r="K176" s="21" t="s">
        <v>7</v>
      </c>
      <c r="L176" s="24">
        <v>567.20000000000005</v>
      </c>
      <c r="M176" s="24">
        <v>3.9</v>
      </c>
      <c r="P176" s="21" t="s">
        <v>240</v>
      </c>
      <c r="Q176" s="21" t="s">
        <v>9</v>
      </c>
      <c r="R176" s="22"/>
      <c r="S176" s="24">
        <v>567.20000000000005</v>
      </c>
      <c r="T176" s="24">
        <v>3.9</v>
      </c>
      <c r="W176" s="21">
        <v>1.1399999999999999</v>
      </c>
      <c r="X176" s="21" t="s">
        <v>1074</v>
      </c>
      <c r="Y176" s="22"/>
      <c r="Z176" s="21" t="s">
        <v>241</v>
      </c>
      <c r="AB176" s="21" t="s">
        <v>242</v>
      </c>
      <c r="AF176" s="21" t="s">
        <v>1274</v>
      </c>
      <c r="AG176" s="21" t="s">
        <v>243</v>
      </c>
      <c r="AH176" s="21" t="s">
        <v>244</v>
      </c>
    </row>
    <row r="177" spans="1:35" x14ac:dyDescent="0.35">
      <c r="A177" s="21">
        <v>176</v>
      </c>
      <c r="B177" s="20">
        <f>_xlfn.XLOOKUP(C177, csl_deposits!B:B, csl_deposits!A:A, "NA", 0,1)</f>
        <v>76</v>
      </c>
      <c r="C177" s="21" t="s">
        <v>866</v>
      </c>
      <c r="D177" s="21" t="s">
        <v>247</v>
      </c>
      <c r="E177" s="21" t="s">
        <v>1184</v>
      </c>
      <c r="F177" s="21" t="s">
        <v>1073</v>
      </c>
      <c r="G177" s="21" t="s">
        <v>0</v>
      </c>
      <c r="H177" s="21" t="s">
        <v>1185</v>
      </c>
      <c r="I177" s="21" t="s">
        <v>248</v>
      </c>
      <c r="J177" s="21" t="s">
        <v>13</v>
      </c>
      <c r="K177" s="21" t="s">
        <v>7</v>
      </c>
      <c r="L177" s="24">
        <v>598.1</v>
      </c>
      <c r="M177" s="24">
        <v>6</v>
      </c>
      <c r="P177" s="21" t="s">
        <v>14</v>
      </c>
      <c r="Q177" s="21" t="s">
        <v>9</v>
      </c>
      <c r="R177" s="22"/>
      <c r="S177" s="24">
        <v>598.1</v>
      </c>
      <c r="T177" s="24">
        <v>6</v>
      </c>
      <c r="W177" s="21">
        <v>1.3</v>
      </c>
      <c r="X177" s="21" t="s">
        <v>1077</v>
      </c>
      <c r="Y177" s="22"/>
      <c r="Z177" s="21" t="s">
        <v>246</v>
      </c>
      <c r="AB177" s="21" t="s">
        <v>249</v>
      </c>
      <c r="AF177" s="21" t="s">
        <v>1274</v>
      </c>
      <c r="AG177" s="21" t="s">
        <v>244</v>
      </c>
    </row>
    <row r="178" spans="1:35" x14ac:dyDescent="0.35">
      <c r="A178" s="21">
        <v>177</v>
      </c>
      <c r="B178" s="20">
        <f>_xlfn.XLOOKUP(C178, csl_deposits!B:B, csl_deposits!A:A, "NA", 0,1)</f>
        <v>77</v>
      </c>
      <c r="C178" s="21" t="s">
        <v>871</v>
      </c>
      <c r="D178" s="21" t="s">
        <v>372</v>
      </c>
      <c r="E178" s="21" t="s">
        <v>1190</v>
      </c>
      <c r="F178" s="21" t="s">
        <v>1033</v>
      </c>
      <c r="G178" s="21" t="s">
        <v>1</v>
      </c>
      <c r="H178" s="21" t="s">
        <v>1185</v>
      </c>
      <c r="I178" s="21" t="s">
        <v>115</v>
      </c>
      <c r="J178" s="21" t="s">
        <v>13</v>
      </c>
      <c r="K178" s="21" t="s">
        <v>7</v>
      </c>
      <c r="L178" s="24">
        <v>559</v>
      </c>
      <c r="M178" s="24">
        <v>6</v>
      </c>
      <c r="P178" s="21" t="s">
        <v>71</v>
      </c>
      <c r="Q178" s="21" t="s">
        <v>9</v>
      </c>
      <c r="R178" s="22"/>
      <c r="S178" s="24">
        <v>559</v>
      </c>
      <c r="T178" s="24">
        <v>6</v>
      </c>
      <c r="U178" s="25"/>
      <c r="V178" s="25"/>
      <c r="W178" s="25"/>
      <c r="X178" s="21" t="s">
        <v>1035</v>
      </c>
      <c r="Y178" s="22"/>
      <c r="Z178" s="21" t="s">
        <v>374</v>
      </c>
      <c r="AB178" s="22" t="s">
        <v>375</v>
      </c>
      <c r="AD178" s="21" t="s">
        <v>376</v>
      </c>
      <c r="AG178" s="21" t="s">
        <v>377</v>
      </c>
      <c r="AH178" s="21" t="s">
        <v>225</v>
      </c>
    </row>
    <row r="179" spans="1:35" x14ac:dyDescent="0.35">
      <c r="A179" s="21">
        <v>178</v>
      </c>
      <c r="B179" s="20">
        <f>_xlfn.XLOOKUP(C179, csl_deposits!B:B, csl_deposits!A:A, "NA", 0,1)</f>
        <v>77</v>
      </c>
      <c r="C179" s="21" t="s">
        <v>871</v>
      </c>
      <c r="D179" s="21" t="s">
        <v>222</v>
      </c>
      <c r="E179" s="21" t="s">
        <v>1190</v>
      </c>
      <c r="F179" s="25" t="s">
        <v>1270</v>
      </c>
      <c r="G179" s="21" t="s">
        <v>1</v>
      </c>
      <c r="H179" s="21" t="s">
        <v>1185</v>
      </c>
      <c r="I179" s="21" t="s">
        <v>223</v>
      </c>
      <c r="J179" s="21" t="s">
        <v>13</v>
      </c>
      <c r="K179" s="21" t="s">
        <v>7</v>
      </c>
      <c r="L179" s="24">
        <v>574.9</v>
      </c>
      <c r="M179" s="24">
        <v>3</v>
      </c>
      <c r="P179" s="21" t="s">
        <v>14</v>
      </c>
      <c r="Q179" s="21" t="s">
        <v>9</v>
      </c>
      <c r="R179" s="22"/>
      <c r="S179" s="24">
        <v>574.9</v>
      </c>
      <c r="T179" s="24">
        <v>3</v>
      </c>
      <c r="U179" s="25"/>
      <c r="V179" s="25"/>
      <c r="W179" s="25">
        <v>2.1</v>
      </c>
      <c r="X179" s="21" t="s">
        <v>1051</v>
      </c>
      <c r="Y179" s="22"/>
      <c r="Z179" s="21" t="s">
        <v>224</v>
      </c>
      <c r="AG179" s="21" t="s">
        <v>225</v>
      </c>
    </row>
    <row r="180" spans="1:35" x14ac:dyDescent="0.35">
      <c r="A180" s="21">
        <v>179</v>
      </c>
      <c r="B180" s="20">
        <f>_xlfn.XLOOKUP(C180, csl_deposits!B:B, csl_deposits!A:A, "NA", 0,1)</f>
        <v>77</v>
      </c>
      <c r="C180" s="21" t="s">
        <v>871</v>
      </c>
      <c r="D180" s="21" t="s">
        <v>321</v>
      </c>
      <c r="E180" s="21" t="s">
        <v>1190</v>
      </c>
      <c r="F180" s="21" t="s">
        <v>1064</v>
      </c>
      <c r="G180" s="21" t="s">
        <v>1</v>
      </c>
      <c r="H180" s="21" t="s">
        <v>1185</v>
      </c>
      <c r="I180" s="21" t="s">
        <v>266</v>
      </c>
      <c r="J180" s="21" t="s">
        <v>13</v>
      </c>
      <c r="K180" s="21" t="s">
        <v>7</v>
      </c>
      <c r="L180" s="21">
        <v>567</v>
      </c>
      <c r="M180" s="21">
        <v>5</v>
      </c>
      <c r="P180" s="21" t="s">
        <v>71</v>
      </c>
      <c r="Q180" s="21" t="s">
        <v>9</v>
      </c>
      <c r="S180" s="21">
        <v>567</v>
      </c>
      <c r="T180" s="21">
        <v>5</v>
      </c>
      <c r="W180" s="21">
        <v>1.5</v>
      </c>
      <c r="X180" s="21" t="s">
        <v>1065</v>
      </c>
      <c r="Y180" s="22"/>
      <c r="Z180" s="21" t="s">
        <v>224</v>
      </c>
      <c r="AG180" s="21" t="s">
        <v>319</v>
      </c>
      <c r="AH180" s="21" t="s">
        <v>225</v>
      </c>
    </row>
    <row r="181" spans="1:35" x14ac:dyDescent="0.35">
      <c r="A181" s="21">
        <v>180</v>
      </c>
      <c r="B181" s="20">
        <f>_xlfn.XLOOKUP(C181, csl_deposits!B:B, csl_deposits!A:A, "NA", 0,1)</f>
        <v>77</v>
      </c>
      <c r="C181" s="21" t="s">
        <v>871</v>
      </c>
      <c r="D181" s="21" t="s">
        <v>314</v>
      </c>
      <c r="E181" s="21" t="s">
        <v>1190</v>
      </c>
      <c r="F181" s="21" t="s">
        <v>1309</v>
      </c>
      <c r="G181" s="21" t="s">
        <v>1</v>
      </c>
      <c r="H181" s="21" t="s">
        <v>1185</v>
      </c>
      <c r="I181" s="21" t="s">
        <v>1067</v>
      </c>
      <c r="J181" s="21" t="s">
        <v>13</v>
      </c>
      <c r="K181" s="21" t="s">
        <v>7</v>
      </c>
      <c r="L181" s="21">
        <v>541</v>
      </c>
      <c r="M181" s="21">
        <v>6</v>
      </c>
      <c r="P181" s="21" t="s">
        <v>71</v>
      </c>
      <c r="Q181" s="21" t="s">
        <v>9</v>
      </c>
      <c r="S181" s="21">
        <v>541</v>
      </c>
      <c r="T181" s="21">
        <v>6</v>
      </c>
      <c r="W181" s="21">
        <v>0.39</v>
      </c>
      <c r="X181" s="21" t="s">
        <v>1068</v>
      </c>
      <c r="Y181" s="22"/>
      <c r="Z181" s="21" t="s">
        <v>317</v>
      </c>
      <c r="AB181" s="21" t="s">
        <v>318</v>
      </c>
      <c r="AG181" s="21" t="s">
        <v>319</v>
      </c>
    </row>
    <row r="182" spans="1:35" x14ac:dyDescent="0.35">
      <c r="A182" s="21">
        <v>181</v>
      </c>
      <c r="B182" s="20">
        <f>_xlfn.XLOOKUP(C182, csl_deposits!B:B, csl_deposits!A:A, "NA", 0,1)</f>
        <v>77</v>
      </c>
      <c r="C182" s="21" t="s">
        <v>871</v>
      </c>
      <c r="D182" s="21" t="s">
        <v>320</v>
      </c>
      <c r="E182" s="21" t="s">
        <v>1190</v>
      </c>
      <c r="F182" s="22"/>
      <c r="G182" s="21" t="s">
        <v>1</v>
      </c>
      <c r="H182" s="21" t="s">
        <v>1185</v>
      </c>
      <c r="I182" s="21" t="s">
        <v>266</v>
      </c>
      <c r="J182" s="21" t="s">
        <v>13</v>
      </c>
      <c r="K182" s="21" t="s">
        <v>7</v>
      </c>
      <c r="L182" s="21">
        <v>566</v>
      </c>
      <c r="M182" s="21">
        <v>4</v>
      </c>
      <c r="P182" s="21" t="s">
        <v>71</v>
      </c>
      <c r="Q182" s="21" t="s">
        <v>9</v>
      </c>
      <c r="S182" s="21">
        <v>566</v>
      </c>
      <c r="T182" s="21">
        <v>4</v>
      </c>
      <c r="W182" s="21">
        <v>1.1299999999999999</v>
      </c>
      <c r="X182" s="21" t="s">
        <v>1069</v>
      </c>
      <c r="Y182" s="22"/>
      <c r="Z182" s="21" t="s">
        <v>224</v>
      </c>
      <c r="AG182" s="21" t="s">
        <v>319</v>
      </c>
    </row>
    <row r="183" spans="1:35" x14ac:dyDescent="0.35">
      <c r="A183" s="21">
        <v>182</v>
      </c>
      <c r="B183" s="20">
        <f>_xlfn.XLOOKUP(C183, csl_deposits!B:B, csl_deposits!A:A, "NA", 0,1)</f>
        <v>77</v>
      </c>
      <c r="C183" s="21" t="s">
        <v>871</v>
      </c>
      <c r="D183" s="21" t="s">
        <v>388</v>
      </c>
      <c r="E183" s="26" t="s">
        <v>1190</v>
      </c>
      <c r="F183" s="26" t="s">
        <v>1033</v>
      </c>
      <c r="G183" s="26" t="s">
        <v>1</v>
      </c>
      <c r="H183" s="21" t="s">
        <v>1185</v>
      </c>
      <c r="I183" s="26" t="s">
        <v>54</v>
      </c>
      <c r="J183" s="26" t="s">
        <v>6</v>
      </c>
      <c r="K183" s="26" t="s">
        <v>7</v>
      </c>
      <c r="L183" s="27">
        <v>578.5</v>
      </c>
      <c r="M183" s="27">
        <v>1.2</v>
      </c>
      <c r="P183" s="26" t="s">
        <v>267</v>
      </c>
      <c r="Q183" s="26" t="s">
        <v>9</v>
      </c>
      <c r="R183" s="26"/>
      <c r="S183" s="27">
        <v>578.5</v>
      </c>
      <c r="T183" s="27">
        <v>1.2</v>
      </c>
      <c r="U183" s="28"/>
      <c r="V183" s="28"/>
      <c r="W183" s="25">
        <v>0.8</v>
      </c>
      <c r="X183" s="21" t="s">
        <v>1075</v>
      </c>
      <c r="Y183" s="22"/>
      <c r="Z183" s="26" t="s">
        <v>374</v>
      </c>
      <c r="AB183" s="21" t="s">
        <v>389</v>
      </c>
      <c r="AG183" s="21" t="s">
        <v>390</v>
      </c>
      <c r="AH183" s="21" t="s">
        <v>225</v>
      </c>
    </row>
    <row r="184" spans="1:35" x14ac:dyDescent="0.35">
      <c r="A184" s="21">
        <v>183</v>
      </c>
      <c r="B184" s="20">
        <f>_xlfn.XLOOKUP(C184, csl_deposits!B:B, csl_deposits!A:A, "NA", 0,1)</f>
        <v>77</v>
      </c>
      <c r="C184" s="21" t="s">
        <v>871</v>
      </c>
      <c r="D184" s="21" t="s">
        <v>391</v>
      </c>
      <c r="E184" s="21" t="s">
        <v>1190</v>
      </c>
      <c r="F184" s="21" t="s">
        <v>1033</v>
      </c>
      <c r="G184" s="21" t="s">
        <v>1</v>
      </c>
      <c r="H184" s="21" t="s">
        <v>1185</v>
      </c>
      <c r="I184" s="21" t="s">
        <v>54</v>
      </c>
      <c r="J184" s="21" t="s">
        <v>6</v>
      </c>
      <c r="K184" s="21" t="s">
        <v>7</v>
      </c>
      <c r="L184" s="24">
        <v>579.4</v>
      </c>
      <c r="M184" s="24">
        <v>1.2</v>
      </c>
      <c r="P184" s="21" t="s">
        <v>267</v>
      </c>
      <c r="Q184" s="21" t="s">
        <v>9</v>
      </c>
      <c r="R184" s="22"/>
      <c r="S184" s="24">
        <v>579.4</v>
      </c>
      <c r="T184" s="24">
        <v>1.2</v>
      </c>
      <c r="U184" s="25"/>
      <c r="V184" s="25"/>
      <c r="W184" s="25">
        <v>0.8</v>
      </c>
      <c r="X184" s="21" t="s">
        <v>1075</v>
      </c>
      <c r="Y184" s="22"/>
      <c r="Z184" s="21" t="s">
        <v>374</v>
      </c>
      <c r="AB184" s="21" t="s">
        <v>389</v>
      </c>
      <c r="AG184" s="21" t="s">
        <v>390</v>
      </c>
      <c r="AH184" s="21" t="s">
        <v>225</v>
      </c>
    </row>
    <row r="185" spans="1:35" x14ac:dyDescent="0.35">
      <c r="A185" s="21">
        <v>184</v>
      </c>
      <c r="B185" s="20">
        <f>_xlfn.XLOOKUP(C185, csl_deposits!B:B, csl_deposits!A:A, "NA", 0,1)</f>
        <v>77</v>
      </c>
      <c r="C185" s="21" t="s">
        <v>871</v>
      </c>
      <c r="D185" s="21" t="s">
        <v>378</v>
      </c>
      <c r="E185" s="21" t="s">
        <v>1184</v>
      </c>
      <c r="F185" s="21" t="s">
        <v>1033</v>
      </c>
      <c r="G185" s="21" t="s">
        <v>0</v>
      </c>
      <c r="H185" s="21" t="s">
        <v>1185</v>
      </c>
      <c r="I185" s="21" t="s">
        <v>24</v>
      </c>
      <c r="J185" s="21" t="s">
        <v>0</v>
      </c>
      <c r="K185" s="21" t="s">
        <v>7</v>
      </c>
      <c r="L185" s="24">
        <v>592.67999999999995</v>
      </c>
      <c r="M185" s="24">
        <v>0.12</v>
      </c>
      <c r="P185" s="21" t="s">
        <v>32</v>
      </c>
      <c r="Q185" s="21" t="s">
        <v>25</v>
      </c>
      <c r="R185" s="22"/>
      <c r="S185" s="24">
        <v>592.67999999999995</v>
      </c>
      <c r="T185" s="24">
        <v>0.12</v>
      </c>
      <c r="U185" s="25"/>
      <c r="V185" s="25"/>
      <c r="W185" s="25">
        <v>0.9</v>
      </c>
      <c r="X185" s="21" t="s">
        <v>1048</v>
      </c>
      <c r="Y185" s="22"/>
      <c r="Z185" s="21" t="s">
        <v>380</v>
      </c>
      <c r="AE185" s="21" t="s">
        <v>381</v>
      </c>
      <c r="AG185" s="21" t="s">
        <v>225</v>
      </c>
    </row>
    <row r="186" spans="1:35" x14ac:dyDescent="0.35">
      <c r="A186" s="21">
        <v>185</v>
      </c>
      <c r="B186" s="20">
        <f>_xlfn.XLOOKUP(C186, csl_deposits!B:B, csl_deposits!A:A, "NA", 0,1)</f>
        <v>77</v>
      </c>
      <c r="C186" s="21" t="s">
        <v>871</v>
      </c>
      <c r="D186" s="21" t="s">
        <v>228</v>
      </c>
      <c r="E186" s="21" t="s">
        <v>1184</v>
      </c>
      <c r="F186" s="21" t="s">
        <v>1273</v>
      </c>
      <c r="G186" s="21" t="s">
        <v>0</v>
      </c>
      <c r="H186" s="21" t="s">
        <v>1185</v>
      </c>
      <c r="I186" s="21" t="s">
        <v>223</v>
      </c>
      <c r="J186" s="21" t="s">
        <v>13</v>
      </c>
      <c r="K186" s="21" t="s">
        <v>7</v>
      </c>
      <c r="L186" s="24">
        <v>593.12</v>
      </c>
      <c r="M186" s="24">
        <v>0.14000000000000001</v>
      </c>
      <c r="P186" s="21" t="s">
        <v>32</v>
      </c>
      <c r="Q186" s="21" t="s">
        <v>9</v>
      </c>
      <c r="R186" s="22"/>
      <c r="S186" s="24">
        <v>593.12</v>
      </c>
      <c r="T186" s="24">
        <v>0.14000000000000001</v>
      </c>
      <c r="U186" s="25"/>
      <c r="V186" s="25"/>
      <c r="W186" s="25"/>
      <c r="X186" s="21" t="s">
        <v>1049</v>
      </c>
      <c r="Y186" s="22"/>
      <c r="AC186" s="21" t="s">
        <v>230</v>
      </c>
      <c r="AG186" s="21" t="s">
        <v>225</v>
      </c>
    </row>
    <row r="187" spans="1:35" x14ac:dyDescent="0.35">
      <c r="A187" s="21">
        <v>186</v>
      </c>
      <c r="B187" s="20">
        <f>_xlfn.XLOOKUP(C187, csl_deposits!B:B, csl_deposits!A:A, "NA", 0,1)</f>
        <v>77</v>
      </c>
      <c r="C187" s="21" t="s">
        <v>871</v>
      </c>
      <c r="D187" s="21" t="s">
        <v>382</v>
      </c>
      <c r="E187" s="21" t="s">
        <v>1184</v>
      </c>
      <c r="F187" s="21" t="s">
        <v>1033</v>
      </c>
      <c r="G187" s="21" t="s">
        <v>0</v>
      </c>
      <c r="H187" s="21" t="s">
        <v>1185</v>
      </c>
      <c r="I187" s="21" t="s">
        <v>24</v>
      </c>
      <c r="J187" s="21" t="s">
        <v>0</v>
      </c>
      <c r="K187" s="21" t="s">
        <v>7</v>
      </c>
      <c r="L187" s="24">
        <v>592.30999999999995</v>
      </c>
      <c r="M187" s="24">
        <v>0.18</v>
      </c>
      <c r="P187" s="21" t="s">
        <v>32</v>
      </c>
      <c r="Q187" s="21" t="s">
        <v>25</v>
      </c>
      <c r="R187" s="22"/>
      <c r="S187" s="24">
        <v>592.30999999999995</v>
      </c>
      <c r="T187" s="24">
        <v>0.18</v>
      </c>
      <c r="U187" s="25"/>
      <c r="V187" s="25"/>
      <c r="W187" s="25"/>
      <c r="X187" s="21" t="s">
        <v>1050</v>
      </c>
      <c r="Y187" s="22"/>
      <c r="Z187" s="21" t="s">
        <v>380</v>
      </c>
      <c r="AE187" s="21" t="s">
        <v>381</v>
      </c>
      <c r="AG187" s="21" t="s">
        <v>225</v>
      </c>
    </row>
    <row r="188" spans="1:35" x14ac:dyDescent="0.35">
      <c r="A188" s="21">
        <v>187</v>
      </c>
      <c r="B188" s="20">
        <f>_xlfn.XLOOKUP(C188, csl_deposits!B:B, csl_deposits!A:A, "NA", 0,1)</f>
        <v>77</v>
      </c>
      <c r="C188" s="21" t="s">
        <v>871</v>
      </c>
      <c r="D188" s="21" t="s">
        <v>384</v>
      </c>
      <c r="E188" s="21" t="s">
        <v>1184</v>
      </c>
      <c r="F188" s="21" t="s">
        <v>1033</v>
      </c>
      <c r="G188" s="21" t="s">
        <v>0</v>
      </c>
      <c r="H188" s="21" t="s">
        <v>1185</v>
      </c>
      <c r="I188" s="21" t="s">
        <v>24</v>
      </c>
      <c r="J188" s="21" t="s">
        <v>0</v>
      </c>
      <c r="K188" s="21" t="s">
        <v>7</v>
      </c>
      <c r="L188" s="24">
        <v>592.84</v>
      </c>
      <c r="M188" s="24">
        <v>0.17</v>
      </c>
      <c r="P188" s="21" t="s">
        <v>32</v>
      </c>
      <c r="Q188" s="21" t="s">
        <v>25</v>
      </c>
      <c r="R188" s="22"/>
      <c r="S188" s="24">
        <v>592.84</v>
      </c>
      <c r="T188" s="24">
        <v>0.17</v>
      </c>
      <c r="U188" s="25"/>
      <c r="V188" s="25"/>
      <c r="W188" s="25"/>
      <c r="X188" s="21" t="s">
        <v>1052</v>
      </c>
      <c r="Y188" s="22"/>
      <c r="Z188" s="21" t="s">
        <v>380</v>
      </c>
      <c r="AE188" s="21" t="s">
        <v>381</v>
      </c>
      <c r="AG188" s="21" t="s">
        <v>225</v>
      </c>
    </row>
    <row r="189" spans="1:35" x14ac:dyDescent="0.35">
      <c r="A189" s="21">
        <v>188</v>
      </c>
      <c r="B189" s="20">
        <f>_xlfn.XLOOKUP(C189, csl_deposits!B:B, csl_deposits!A:A, "NA", 0,1)</f>
        <v>77</v>
      </c>
      <c r="C189" s="21" t="s">
        <v>871</v>
      </c>
      <c r="D189" s="21" t="s">
        <v>385</v>
      </c>
      <c r="E189" s="21" t="s">
        <v>1184</v>
      </c>
      <c r="F189" s="21" t="s">
        <v>1066</v>
      </c>
      <c r="G189" s="21" t="s">
        <v>0</v>
      </c>
      <c r="H189" s="21" t="s">
        <v>1185</v>
      </c>
      <c r="I189" s="21" t="s">
        <v>386</v>
      </c>
      <c r="J189" s="21" t="s">
        <v>13</v>
      </c>
      <c r="K189" s="21" t="s">
        <v>7</v>
      </c>
      <c r="L189" s="21">
        <v>606</v>
      </c>
      <c r="M189" s="21">
        <v>4</v>
      </c>
      <c r="P189" s="21" t="s">
        <v>71</v>
      </c>
      <c r="Q189" s="21" t="s">
        <v>9</v>
      </c>
      <c r="S189" s="21">
        <v>606</v>
      </c>
      <c r="T189" s="21">
        <v>4</v>
      </c>
      <c r="W189" s="21">
        <v>1.03</v>
      </c>
      <c r="X189" s="21" t="s">
        <v>1065</v>
      </c>
      <c r="Y189" s="22"/>
      <c r="Z189" s="21" t="s">
        <v>387</v>
      </c>
      <c r="AG189" s="21" t="s">
        <v>319</v>
      </c>
      <c r="AH189" s="21" t="s">
        <v>225</v>
      </c>
    </row>
    <row r="190" spans="1:35" x14ac:dyDescent="0.35">
      <c r="A190" s="21">
        <v>189</v>
      </c>
      <c r="B190" s="20">
        <f>_xlfn.XLOOKUP(C190, csl_deposits!B:B, csl_deposits!A:A, "NA", 0,1)</f>
        <v>78</v>
      </c>
      <c r="C190" s="21" t="s">
        <v>877</v>
      </c>
      <c r="E190" s="21" t="s">
        <v>1190</v>
      </c>
      <c r="F190" s="21" t="s">
        <v>1330</v>
      </c>
      <c r="G190" s="21" t="s">
        <v>1</v>
      </c>
      <c r="H190" s="21" t="s">
        <v>1191</v>
      </c>
      <c r="J190" s="21" t="s">
        <v>1</v>
      </c>
      <c r="L190" s="21">
        <v>538.79999999999995</v>
      </c>
      <c r="Z190" s="21" t="s">
        <v>398</v>
      </c>
      <c r="AB190" s="21" t="s">
        <v>399</v>
      </c>
      <c r="AG190" s="21" t="s">
        <v>396</v>
      </c>
    </row>
    <row r="191" spans="1:35" x14ac:dyDescent="0.35">
      <c r="A191" s="21">
        <v>190</v>
      </c>
      <c r="B191" s="20">
        <f>_xlfn.XLOOKUP(C191, csl_deposits!B:B, csl_deposits!A:A, "NA", 0,1)</f>
        <v>78</v>
      </c>
      <c r="C191" s="21" t="s">
        <v>877</v>
      </c>
      <c r="D191" s="21" t="s">
        <v>397</v>
      </c>
      <c r="E191" s="21" t="s">
        <v>1190</v>
      </c>
      <c r="F191" s="21" t="s">
        <v>1329</v>
      </c>
      <c r="G191" s="21" t="s">
        <v>1</v>
      </c>
      <c r="H191" s="21" t="s">
        <v>1185</v>
      </c>
      <c r="I191" s="21" t="s">
        <v>332</v>
      </c>
      <c r="J191" s="21" t="s">
        <v>13</v>
      </c>
      <c r="K191" s="21" t="s">
        <v>7</v>
      </c>
      <c r="L191" s="21">
        <v>547</v>
      </c>
      <c r="M191" s="21">
        <v>2</v>
      </c>
      <c r="P191" s="21" t="s">
        <v>125</v>
      </c>
      <c r="Q191" s="21" t="s">
        <v>9</v>
      </c>
      <c r="S191" s="21">
        <v>547</v>
      </c>
      <c r="T191" s="21">
        <v>2</v>
      </c>
      <c r="W191" s="21">
        <v>0.55000000000000004</v>
      </c>
      <c r="X191" s="21" t="s">
        <v>1328</v>
      </c>
      <c r="Z191" s="21" t="s">
        <v>398</v>
      </c>
      <c r="AB191" s="21" t="s">
        <v>399</v>
      </c>
      <c r="AC191" s="21" t="s">
        <v>400</v>
      </c>
      <c r="AG191" s="21" t="s">
        <v>401</v>
      </c>
      <c r="AH191" s="21" t="s">
        <v>396</v>
      </c>
      <c r="AI191" s="21" t="s">
        <v>402</v>
      </c>
    </row>
    <row r="192" spans="1:35" x14ac:dyDescent="0.35">
      <c r="A192" s="21">
        <v>191</v>
      </c>
      <c r="B192" s="20">
        <f>_xlfn.XLOOKUP(C192, csl_deposits!B:B, csl_deposits!A:A, "NA", 0,1)</f>
        <v>78</v>
      </c>
      <c r="C192" s="21" t="s">
        <v>877</v>
      </c>
      <c r="D192" s="21" t="s">
        <v>392</v>
      </c>
      <c r="E192" s="21" t="s">
        <v>1184</v>
      </c>
      <c r="F192" s="21" t="s">
        <v>1327</v>
      </c>
      <c r="G192" s="21" t="s">
        <v>0</v>
      </c>
      <c r="H192" s="21" t="s">
        <v>1185</v>
      </c>
      <c r="I192" s="21" t="s">
        <v>393</v>
      </c>
      <c r="J192" s="21" t="s">
        <v>13</v>
      </c>
      <c r="K192" s="21" t="s">
        <v>7</v>
      </c>
      <c r="L192" s="21">
        <v>554</v>
      </c>
      <c r="M192" s="21">
        <v>15</v>
      </c>
      <c r="P192" s="21" t="s">
        <v>71</v>
      </c>
      <c r="Q192" s="21" t="s">
        <v>9</v>
      </c>
      <c r="S192" s="21">
        <v>554</v>
      </c>
      <c r="T192" s="21">
        <v>15</v>
      </c>
      <c r="W192" s="21">
        <v>0.41</v>
      </c>
      <c r="X192" s="21" t="s">
        <v>1326</v>
      </c>
      <c r="Y192" s="22"/>
      <c r="AB192" s="21" t="s">
        <v>394</v>
      </c>
      <c r="AG192" s="21" t="s">
        <v>395</v>
      </c>
      <c r="AH192" s="21" t="s">
        <v>396</v>
      </c>
    </row>
    <row r="193" spans="1:33" x14ac:dyDescent="0.35">
      <c r="A193" s="21">
        <v>192</v>
      </c>
      <c r="B193" s="20">
        <f>_xlfn.XLOOKUP(C193, csl_deposits!B:B, csl_deposits!A:A, "NA", 0,1)</f>
        <v>79</v>
      </c>
      <c r="C193" s="21" t="s">
        <v>403</v>
      </c>
      <c r="D193" s="21" t="s">
        <v>404</v>
      </c>
      <c r="E193" s="21" t="s">
        <v>1190</v>
      </c>
      <c r="F193" s="21" t="s">
        <v>1014</v>
      </c>
      <c r="G193" s="21" t="s">
        <v>1</v>
      </c>
      <c r="H193" s="21" t="s">
        <v>1185</v>
      </c>
      <c r="I193" s="21" t="s">
        <v>88</v>
      </c>
      <c r="J193" s="21" t="s">
        <v>13</v>
      </c>
      <c r="K193" s="21" t="s">
        <v>7</v>
      </c>
      <c r="L193" s="24">
        <v>579.24</v>
      </c>
      <c r="M193" s="21">
        <v>0.69</v>
      </c>
      <c r="P193" s="21" t="s">
        <v>32</v>
      </c>
      <c r="Q193" s="21" t="s">
        <v>9</v>
      </c>
      <c r="R193" s="22" t="s">
        <v>406</v>
      </c>
      <c r="S193" s="24">
        <v>579.24</v>
      </c>
      <c r="T193" s="24">
        <v>0.17</v>
      </c>
      <c r="U193" s="21">
        <v>0.3</v>
      </c>
      <c r="V193" s="21">
        <v>0.69</v>
      </c>
      <c r="W193" s="21">
        <v>1.3</v>
      </c>
      <c r="X193" s="21" t="s">
        <v>1015</v>
      </c>
      <c r="Y193" s="22"/>
      <c r="Z193" s="21" t="s">
        <v>407</v>
      </c>
      <c r="AB193" s="21" t="s">
        <v>408</v>
      </c>
      <c r="AG193" s="21" t="s">
        <v>138</v>
      </c>
    </row>
    <row r="194" spans="1:33" x14ac:dyDescent="0.35">
      <c r="A194" s="21">
        <v>193</v>
      </c>
      <c r="B194" s="20">
        <f>_xlfn.XLOOKUP(C194, csl_deposits!B:B, csl_deposits!A:A, "NA", 0,1)</f>
        <v>79</v>
      </c>
      <c r="C194" s="21" t="s">
        <v>403</v>
      </c>
      <c r="D194" s="21" t="s">
        <v>411</v>
      </c>
      <c r="E194" s="21" t="s">
        <v>1184</v>
      </c>
      <c r="F194" s="21" t="s">
        <v>1014</v>
      </c>
      <c r="G194" s="21" t="s">
        <v>0</v>
      </c>
      <c r="H194" s="21" t="s">
        <v>1185</v>
      </c>
      <c r="I194" s="21" t="s">
        <v>88</v>
      </c>
      <c r="J194" s="21" t="s">
        <v>13</v>
      </c>
      <c r="K194" s="21" t="s">
        <v>7</v>
      </c>
      <c r="L194" s="24">
        <v>579.63</v>
      </c>
      <c r="M194" s="21">
        <v>0.68</v>
      </c>
      <c r="P194" s="21" t="s">
        <v>32</v>
      </c>
      <c r="Q194" s="21" t="s">
        <v>9</v>
      </c>
      <c r="R194" s="22" t="s">
        <v>412</v>
      </c>
      <c r="S194" s="24">
        <v>579.63</v>
      </c>
      <c r="T194" s="24">
        <v>0.15</v>
      </c>
      <c r="U194" s="21">
        <v>0.28999999999999998</v>
      </c>
      <c r="V194" s="21">
        <v>0.68</v>
      </c>
      <c r="W194" s="21">
        <v>1.7999999999999999E-2</v>
      </c>
      <c r="X194" s="21" t="s">
        <v>1017</v>
      </c>
      <c r="Y194" s="22"/>
      <c r="Z194" s="21" t="s">
        <v>407</v>
      </c>
      <c r="AB194" s="21" t="s">
        <v>408</v>
      </c>
      <c r="AG194" s="21" t="s">
        <v>138</v>
      </c>
    </row>
    <row r="195" spans="1:33" x14ac:dyDescent="0.35">
      <c r="A195" s="21">
        <v>194</v>
      </c>
      <c r="B195" s="20">
        <f>_xlfn.XLOOKUP(C195, csl_deposits!B:B, csl_deposits!A:A, "NA", 0,1)</f>
        <v>79</v>
      </c>
      <c r="C195" s="21" t="s">
        <v>403</v>
      </c>
      <c r="D195" s="21" t="s">
        <v>409</v>
      </c>
      <c r="E195" s="21" t="s">
        <v>1188</v>
      </c>
      <c r="F195" s="21" t="s">
        <v>1014</v>
      </c>
      <c r="G195" s="21" t="s">
        <v>0</v>
      </c>
      <c r="H195" s="21" t="s">
        <v>1185</v>
      </c>
      <c r="I195" s="21" t="s">
        <v>24</v>
      </c>
      <c r="J195" s="21" t="s">
        <v>0</v>
      </c>
      <c r="K195" s="21" t="s">
        <v>7</v>
      </c>
      <c r="L195" s="24">
        <v>579.35</v>
      </c>
      <c r="M195" s="21">
        <v>0.75</v>
      </c>
      <c r="P195" s="21" t="s">
        <v>32</v>
      </c>
      <c r="Q195" s="21" t="s">
        <v>25</v>
      </c>
      <c r="R195" s="22" t="s">
        <v>410</v>
      </c>
      <c r="S195" s="24">
        <v>579.35</v>
      </c>
      <c r="T195" s="24">
        <v>0.33</v>
      </c>
      <c r="U195" s="21">
        <v>0.42</v>
      </c>
      <c r="V195" s="21">
        <v>0.75</v>
      </c>
      <c r="W195" s="21">
        <v>0.73</v>
      </c>
      <c r="X195" s="21" t="s">
        <v>1016</v>
      </c>
      <c r="Y195" s="22"/>
      <c r="Z195" s="21" t="s">
        <v>407</v>
      </c>
      <c r="AB195" s="21" t="s">
        <v>408</v>
      </c>
      <c r="AE195" s="21" t="s">
        <v>403</v>
      </c>
      <c r="AF195" s="21" t="s">
        <v>920</v>
      </c>
      <c r="AG195" s="21" t="s">
        <v>138</v>
      </c>
    </row>
    <row r="196" spans="1:33" x14ac:dyDescent="0.35">
      <c r="A196" s="21">
        <v>195</v>
      </c>
      <c r="B196" s="20">
        <f>_xlfn.XLOOKUP(C196, csl_deposits!B:B, csl_deposits!A:A, "NA", 0,1)</f>
        <v>81</v>
      </c>
      <c r="C196" s="21" t="s">
        <v>884</v>
      </c>
      <c r="E196" s="21" t="s">
        <v>1188</v>
      </c>
      <c r="F196" s="21" t="s">
        <v>1335</v>
      </c>
      <c r="G196" s="21" t="s">
        <v>0</v>
      </c>
      <c r="H196" s="21" t="s">
        <v>1022</v>
      </c>
      <c r="I196" s="21" t="s">
        <v>28</v>
      </c>
      <c r="J196" s="21" t="s">
        <v>0</v>
      </c>
      <c r="K196" s="21" t="s">
        <v>1198</v>
      </c>
      <c r="L196" s="21">
        <v>545.5</v>
      </c>
      <c r="Z196" s="21" t="s">
        <v>414</v>
      </c>
      <c r="AA196" s="21" t="s">
        <v>421</v>
      </c>
      <c r="AB196" s="21" t="s">
        <v>422</v>
      </c>
      <c r="AC196" s="21" t="s">
        <v>423</v>
      </c>
      <c r="AD196" s="21" t="s">
        <v>424</v>
      </c>
      <c r="AG196" s="21" t="s">
        <v>1336</v>
      </c>
    </row>
    <row r="197" spans="1:33" x14ac:dyDescent="0.35">
      <c r="A197" s="21">
        <v>196</v>
      </c>
      <c r="B197" s="20">
        <f>_xlfn.XLOOKUP(C197, csl_deposits!B:B, csl_deposits!A:A, "NA", 0,1)</f>
        <v>81</v>
      </c>
      <c r="C197" s="21" t="s">
        <v>884</v>
      </c>
      <c r="D197" s="21" t="s">
        <v>420</v>
      </c>
      <c r="E197" s="21" t="s">
        <v>1190</v>
      </c>
      <c r="F197" s="21" t="s">
        <v>1334</v>
      </c>
      <c r="G197" s="21" t="s">
        <v>1</v>
      </c>
      <c r="H197" s="21" t="s">
        <v>1185</v>
      </c>
      <c r="I197" s="21" t="s">
        <v>88</v>
      </c>
      <c r="J197" s="21" t="s">
        <v>13</v>
      </c>
      <c r="K197" s="21" t="s">
        <v>7</v>
      </c>
      <c r="L197" s="21">
        <v>545.27</v>
      </c>
      <c r="M197" s="21">
        <v>0.11</v>
      </c>
      <c r="P197" s="21" t="s">
        <v>32</v>
      </c>
      <c r="Q197" s="21" t="s">
        <v>9</v>
      </c>
      <c r="S197" s="21">
        <v>545.27</v>
      </c>
      <c r="T197" s="21">
        <v>0.11</v>
      </c>
      <c r="U197" s="21">
        <v>0.18</v>
      </c>
      <c r="V197" s="21">
        <v>0.31</v>
      </c>
      <c r="W197" s="21">
        <v>0.63</v>
      </c>
      <c r="X197" s="21" t="s">
        <v>1333</v>
      </c>
      <c r="Z197" s="21" t="s">
        <v>414</v>
      </c>
      <c r="AA197" s="21" t="s">
        <v>421</v>
      </c>
      <c r="AB197" s="21" t="s">
        <v>422</v>
      </c>
      <c r="AC197" s="21" t="s">
        <v>423</v>
      </c>
      <c r="AD197" s="21" t="s">
        <v>424</v>
      </c>
      <c r="AG197" s="21" t="s">
        <v>425</v>
      </c>
    </row>
    <row r="198" spans="1:33" x14ac:dyDescent="0.35">
      <c r="A198" s="21">
        <v>197</v>
      </c>
      <c r="B198" s="20">
        <f>_xlfn.XLOOKUP(C198, csl_deposits!B:B, csl_deposits!A:A, "NA", 0,1)</f>
        <v>81</v>
      </c>
      <c r="C198" s="21" t="s">
        <v>884</v>
      </c>
      <c r="D198" s="21" t="s">
        <v>413</v>
      </c>
      <c r="E198" s="21" t="s">
        <v>1184</v>
      </c>
      <c r="F198" s="21" t="s">
        <v>1332</v>
      </c>
      <c r="G198" s="21" t="s">
        <v>0</v>
      </c>
      <c r="H198" s="21" t="s">
        <v>1185</v>
      </c>
      <c r="I198" s="21" t="s">
        <v>88</v>
      </c>
      <c r="J198" s="21" t="s">
        <v>13</v>
      </c>
      <c r="K198" s="21" t="s">
        <v>7</v>
      </c>
      <c r="L198" s="21">
        <v>547.36</v>
      </c>
      <c r="M198" s="21">
        <v>0.23</v>
      </c>
      <c r="P198" s="21" t="s">
        <v>8</v>
      </c>
      <c r="Q198" s="21" t="s">
        <v>9</v>
      </c>
      <c r="S198" s="21">
        <v>547.36</v>
      </c>
      <c r="T198" s="21">
        <v>0.23</v>
      </c>
      <c r="U198" s="21">
        <v>0.31</v>
      </c>
      <c r="V198" s="21">
        <v>0.91</v>
      </c>
      <c r="W198" s="21">
        <v>1.4</v>
      </c>
      <c r="X198" s="21" t="s">
        <v>1331</v>
      </c>
      <c r="Z198" s="21" t="s">
        <v>414</v>
      </c>
      <c r="AA198" s="21" t="s">
        <v>415</v>
      </c>
      <c r="AB198" s="21" t="s">
        <v>416</v>
      </c>
      <c r="AC198" s="21" t="s">
        <v>417</v>
      </c>
      <c r="AD198" s="21" t="s">
        <v>418</v>
      </c>
      <c r="AG198" s="21" t="s">
        <v>419</v>
      </c>
    </row>
    <row r="199" spans="1:33" x14ac:dyDescent="0.35">
      <c r="A199" s="21">
        <v>198</v>
      </c>
      <c r="B199" s="20">
        <f>_xlfn.XLOOKUP(C199, csl_deposits!B:B, csl_deposits!A:A, "NA", 0,1)</f>
        <v>85</v>
      </c>
      <c r="C199" s="21" t="s">
        <v>900</v>
      </c>
      <c r="E199" s="21" t="s">
        <v>1190</v>
      </c>
      <c r="F199" s="21" t="s">
        <v>1521</v>
      </c>
      <c r="G199" s="21" t="s">
        <v>1</v>
      </c>
      <c r="H199" s="21" t="s">
        <v>1191</v>
      </c>
      <c r="J199" s="21" t="s">
        <v>2</v>
      </c>
      <c r="L199" s="21">
        <v>521</v>
      </c>
      <c r="AB199" s="21" t="s">
        <v>1522</v>
      </c>
      <c r="AF199" s="21" t="s">
        <v>1524</v>
      </c>
      <c r="AG199" s="21" t="s">
        <v>429</v>
      </c>
    </row>
    <row r="200" spans="1:33" x14ac:dyDescent="0.35">
      <c r="A200" s="21">
        <v>199</v>
      </c>
      <c r="B200" s="20">
        <f>_xlfn.XLOOKUP(C200, csl_deposits!B:B, csl_deposits!A:A, "NA", 0,1)</f>
        <v>85</v>
      </c>
      <c r="C200" s="21" t="s">
        <v>900</v>
      </c>
      <c r="E200" s="21" t="s">
        <v>1190</v>
      </c>
      <c r="F200" s="21" t="s">
        <v>1521</v>
      </c>
      <c r="G200" s="21" t="s">
        <v>1</v>
      </c>
      <c r="H200" s="21" t="s">
        <v>1191</v>
      </c>
      <c r="J200" s="21" t="s">
        <v>2</v>
      </c>
      <c r="L200" s="21">
        <v>521</v>
      </c>
      <c r="AB200" s="21" t="s">
        <v>1522</v>
      </c>
      <c r="AF200" s="21" t="s">
        <v>1523</v>
      </c>
      <c r="AG200" s="21" t="s">
        <v>429</v>
      </c>
    </row>
    <row r="201" spans="1:33" x14ac:dyDescent="0.35">
      <c r="A201" s="21">
        <v>200</v>
      </c>
      <c r="B201" s="20">
        <f>_xlfn.XLOOKUP(C201, csl_deposits!B:B, csl_deposits!A:A, "NA", 0,1)</f>
        <v>85</v>
      </c>
      <c r="C201" s="21" t="s">
        <v>900</v>
      </c>
      <c r="D201" s="21" t="s">
        <v>426</v>
      </c>
      <c r="E201" s="21" t="s">
        <v>1190</v>
      </c>
      <c r="F201" s="21" t="s">
        <v>1338</v>
      </c>
      <c r="G201" s="21" t="s">
        <v>1</v>
      </c>
      <c r="H201" s="21" t="s">
        <v>1185</v>
      </c>
      <c r="I201" s="21" t="s">
        <v>79</v>
      </c>
      <c r="J201" s="21" t="s">
        <v>0</v>
      </c>
      <c r="K201" s="21" t="s">
        <v>7</v>
      </c>
      <c r="L201" s="21">
        <v>561.9</v>
      </c>
      <c r="M201" s="21">
        <v>4.8</v>
      </c>
      <c r="P201" s="21" t="s">
        <v>14</v>
      </c>
      <c r="Q201" s="21" t="s">
        <v>25</v>
      </c>
      <c r="S201" s="21">
        <v>561.9</v>
      </c>
      <c r="T201" s="21">
        <v>4.8</v>
      </c>
      <c r="X201" s="21" t="s">
        <v>1519</v>
      </c>
      <c r="AB201" s="21" t="s">
        <v>428</v>
      </c>
      <c r="AG201" s="21" t="s">
        <v>429</v>
      </c>
    </row>
    <row r="202" spans="1:33" x14ac:dyDescent="0.35">
      <c r="A202" s="21">
        <v>201</v>
      </c>
      <c r="B202" s="20">
        <f>_xlfn.XLOOKUP(C202, csl_deposits!B:B, csl_deposits!A:A, "NA", 0,1)</f>
        <v>85</v>
      </c>
      <c r="C202" s="21" t="s">
        <v>900</v>
      </c>
      <c r="D202" s="21" t="s">
        <v>426</v>
      </c>
      <c r="E202" s="21" t="s">
        <v>1190</v>
      </c>
      <c r="F202" s="21" t="s">
        <v>1338</v>
      </c>
      <c r="H202" s="21" t="s">
        <v>1185</v>
      </c>
      <c r="I202" s="21" t="s">
        <v>79</v>
      </c>
      <c r="J202" s="21" t="s">
        <v>0</v>
      </c>
      <c r="K202" s="21" t="s">
        <v>7</v>
      </c>
      <c r="L202" s="21">
        <v>528.20000000000005</v>
      </c>
      <c r="M202" s="21">
        <v>6.1</v>
      </c>
      <c r="P202" s="21" t="s">
        <v>14</v>
      </c>
      <c r="Q202" s="21" t="s">
        <v>25</v>
      </c>
      <c r="S202" s="21">
        <v>528.20000000000005</v>
      </c>
      <c r="T202" s="21">
        <v>6.1</v>
      </c>
      <c r="X202" s="21" t="s">
        <v>1337</v>
      </c>
      <c r="Y202" s="22"/>
      <c r="AB202" s="21" t="s">
        <v>428</v>
      </c>
      <c r="AG202" s="21" t="s">
        <v>429</v>
      </c>
    </row>
    <row r="203" spans="1:33" x14ac:dyDescent="0.35">
      <c r="A203" s="21">
        <v>202</v>
      </c>
      <c r="B203" s="20">
        <f>_xlfn.XLOOKUP(C203, csl_deposits!B:B, csl_deposits!A:A, "NA", 0,1)</f>
        <v>85</v>
      </c>
      <c r="C203" s="21" t="s">
        <v>900</v>
      </c>
      <c r="D203" s="21" t="s">
        <v>430</v>
      </c>
      <c r="E203" s="21" t="s">
        <v>1190</v>
      </c>
      <c r="F203" s="21" t="s">
        <v>1338</v>
      </c>
      <c r="H203" s="21" t="s">
        <v>1185</v>
      </c>
      <c r="I203" s="21" t="s">
        <v>79</v>
      </c>
      <c r="J203" s="21" t="s">
        <v>0</v>
      </c>
      <c r="K203" s="21" t="s">
        <v>7</v>
      </c>
      <c r="L203" s="21">
        <v>559</v>
      </c>
      <c r="M203" s="21">
        <v>10</v>
      </c>
      <c r="P203" s="21" t="s">
        <v>14</v>
      </c>
      <c r="Q203" s="21" t="s">
        <v>25</v>
      </c>
      <c r="S203" s="21">
        <v>559</v>
      </c>
      <c r="T203" s="21">
        <v>10</v>
      </c>
      <c r="X203" s="21" t="s">
        <v>1337</v>
      </c>
      <c r="Y203" s="22"/>
      <c r="AB203" s="21" t="s">
        <v>428</v>
      </c>
      <c r="AG203" s="21" t="s">
        <v>429</v>
      </c>
    </row>
    <row r="204" spans="1:33" x14ac:dyDescent="0.35">
      <c r="A204" s="21">
        <v>203</v>
      </c>
      <c r="B204" s="20">
        <f>_xlfn.XLOOKUP(C204, csl_deposits!B:B, csl_deposits!A:A, "NA", 0,1)</f>
        <v>85</v>
      </c>
      <c r="C204" s="21" t="s">
        <v>900</v>
      </c>
      <c r="D204" s="21" t="s">
        <v>431</v>
      </c>
      <c r="E204" s="21" t="s">
        <v>1190</v>
      </c>
      <c r="F204" s="21" t="s">
        <v>1339</v>
      </c>
      <c r="H204" s="21" t="s">
        <v>1185</v>
      </c>
      <c r="I204" s="21" t="s">
        <v>79</v>
      </c>
      <c r="J204" s="21" t="s">
        <v>0</v>
      </c>
      <c r="K204" s="21" t="s">
        <v>7</v>
      </c>
      <c r="L204" s="21">
        <v>570.9</v>
      </c>
      <c r="M204" s="21">
        <v>5.9</v>
      </c>
      <c r="P204" s="21" t="s">
        <v>14</v>
      </c>
      <c r="Q204" s="21" t="s">
        <v>25</v>
      </c>
      <c r="S204" s="21">
        <v>570.9</v>
      </c>
      <c r="T204" s="21">
        <v>5.9</v>
      </c>
      <c r="X204" s="21" t="s">
        <v>1337</v>
      </c>
      <c r="Y204" s="22"/>
      <c r="AB204" s="21" t="s">
        <v>433</v>
      </c>
      <c r="AG204" s="21" t="s">
        <v>429</v>
      </c>
    </row>
    <row r="205" spans="1:33" x14ac:dyDescent="0.35">
      <c r="A205" s="21">
        <v>204</v>
      </c>
      <c r="B205" s="20">
        <f>_xlfn.XLOOKUP(C205, csl_deposits!B:B, csl_deposits!A:A, "NA", 0,1)</f>
        <v>85</v>
      </c>
      <c r="C205" s="21" t="s">
        <v>900</v>
      </c>
      <c r="D205" s="21" t="s">
        <v>434</v>
      </c>
      <c r="E205" s="21" t="s">
        <v>1190</v>
      </c>
      <c r="F205" s="21" t="s">
        <v>1340</v>
      </c>
      <c r="H205" s="21" t="s">
        <v>1185</v>
      </c>
      <c r="I205" s="21" t="s">
        <v>79</v>
      </c>
      <c r="J205" s="21" t="s">
        <v>0</v>
      </c>
      <c r="K205" s="21" t="s">
        <v>7</v>
      </c>
      <c r="L205" s="21">
        <v>582</v>
      </c>
      <c r="M205" s="21">
        <v>13</v>
      </c>
      <c r="P205" s="21" t="s">
        <v>14</v>
      </c>
      <c r="Q205" s="21" t="s">
        <v>25</v>
      </c>
      <c r="S205" s="21">
        <v>582</v>
      </c>
      <c r="T205" s="21">
        <v>13</v>
      </c>
      <c r="X205" s="21" t="s">
        <v>1337</v>
      </c>
      <c r="Y205" s="22"/>
      <c r="AB205" s="21" t="s">
        <v>435</v>
      </c>
      <c r="AG205" s="21" t="s">
        <v>429</v>
      </c>
    </row>
    <row r="206" spans="1:33" x14ac:dyDescent="0.35">
      <c r="A206" s="21">
        <v>205</v>
      </c>
      <c r="B206" s="20">
        <f>_xlfn.XLOOKUP(C206, csl_deposits!B:B, csl_deposits!A:A, "NA", 0,1)</f>
        <v>85</v>
      </c>
      <c r="C206" s="21" t="s">
        <v>900</v>
      </c>
      <c r="D206" s="21" t="s">
        <v>436</v>
      </c>
      <c r="E206" s="21" t="s">
        <v>1190</v>
      </c>
      <c r="F206" s="21" t="s">
        <v>1339</v>
      </c>
      <c r="H206" s="21" t="s">
        <v>1185</v>
      </c>
      <c r="I206" s="21" t="s">
        <v>79</v>
      </c>
      <c r="J206" s="21" t="s">
        <v>0</v>
      </c>
      <c r="K206" s="21" t="s">
        <v>7</v>
      </c>
      <c r="L206" s="21">
        <v>586</v>
      </c>
      <c r="M206" s="21">
        <v>12</v>
      </c>
      <c r="P206" s="21" t="s">
        <v>14</v>
      </c>
      <c r="Q206" s="21" t="s">
        <v>25</v>
      </c>
      <c r="S206" s="21">
        <v>586</v>
      </c>
      <c r="T206" s="21">
        <v>12</v>
      </c>
      <c r="X206" s="21" t="s">
        <v>1337</v>
      </c>
      <c r="Y206" s="22"/>
      <c r="AB206" s="21" t="s">
        <v>433</v>
      </c>
      <c r="AG206" s="21" t="s">
        <v>429</v>
      </c>
    </row>
    <row r="207" spans="1:33" x14ac:dyDescent="0.35">
      <c r="A207" s="21">
        <v>206</v>
      </c>
      <c r="B207" s="20">
        <f>_xlfn.XLOOKUP(C207, csl_deposits!B:B, csl_deposits!A:A, "NA", 0,1)</f>
        <v>85</v>
      </c>
      <c r="C207" s="21" t="s">
        <v>900</v>
      </c>
      <c r="D207" s="21" t="s">
        <v>441</v>
      </c>
      <c r="E207" s="21" t="s">
        <v>1190</v>
      </c>
      <c r="F207" s="21" t="s">
        <v>1343</v>
      </c>
      <c r="H207" s="21" t="s">
        <v>1185</v>
      </c>
      <c r="I207" s="21" t="s">
        <v>442</v>
      </c>
      <c r="J207" s="21" t="s">
        <v>0</v>
      </c>
      <c r="K207" s="21" t="s">
        <v>7</v>
      </c>
      <c r="L207" s="21">
        <v>601.29999999999995</v>
      </c>
      <c r="M207" s="21">
        <v>6.4</v>
      </c>
      <c r="P207" s="21" t="s">
        <v>14</v>
      </c>
      <c r="Q207" s="21" t="s">
        <v>25</v>
      </c>
      <c r="S207" s="21">
        <v>601.29999999999995</v>
      </c>
      <c r="T207" s="21">
        <v>6.4</v>
      </c>
      <c r="X207" s="21" t="s">
        <v>1337</v>
      </c>
      <c r="Y207" s="22"/>
      <c r="AB207" s="21" t="s">
        <v>435</v>
      </c>
      <c r="AG207" s="21" t="s">
        <v>429</v>
      </c>
    </row>
    <row r="208" spans="1:33" x14ac:dyDescent="0.35">
      <c r="A208" s="21">
        <v>207</v>
      </c>
      <c r="B208" s="20">
        <f>_xlfn.XLOOKUP(C208, csl_deposits!B:B, csl_deposits!A:A, "NA", 0,1)</f>
        <v>85</v>
      </c>
      <c r="C208" s="21" t="s">
        <v>900</v>
      </c>
      <c r="D208" s="21" t="s">
        <v>438</v>
      </c>
      <c r="E208" s="21" t="s">
        <v>1188</v>
      </c>
      <c r="F208" s="21" t="s">
        <v>1341</v>
      </c>
      <c r="G208" s="21" t="s">
        <v>0</v>
      </c>
      <c r="H208" s="21" t="s">
        <v>1185</v>
      </c>
      <c r="I208" s="21" t="s">
        <v>439</v>
      </c>
      <c r="J208" s="21" t="s">
        <v>0</v>
      </c>
      <c r="K208" s="21" t="s">
        <v>7</v>
      </c>
      <c r="L208" s="21">
        <v>591.1</v>
      </c>
      <c r="M208" s="21">
        <v>5.6</v>
      </c>
      <c r="P208" s="21" t="s">
        <v>14</v>
      </c>
      <c r="Q208" s="21" t="s">
        <v>25</v>
      </c>
      <c r="S208" s="21">
        <v>591.1</v>
      </c>
      <c r="T208" s="21">
        <v>5.6</v>
      </c>
      <c r="X208" s="21" t="s">
        <v>1337</v>
      </c>
      <c r="Y208" s="22"/>
      <c r="AB208" s="21" t="s">
        <v>435</v>
      </c>
      <c r="AG208" s="21" t="s">
        <v>429</v>
      </c>
    </row>
    <row r="209" spans="1:34" x14ac:dyDescent="0.35">
      <c r="A209" s="21">
        <v>208</v>
      </c>
      <c r="B209" s="20">
        <f>_xlfn.XLOOKUP(C209, csl_deposits!B:B, csl_deposits!A:A, "NA", 0,1)</f>
        <v>85</v>
      </c>
      <c r="C209" s="21" t="s">
        <v>900</v>
      </c>
      <c r="D209" s="21" t="s">
        <v>440</v>
      </c>
      <c r="E209" s="21" t="s">
        <v>1188</v>
      </c>
      <c r="F209" s="21" t="s">
        <v>1342</v>
      </c>
      <c r="G209" s="21" t="s">
        <v>0</v>
      </c>
      <c r="H209" s="21" t="s">
        <v>1185</v>
      </c>
      <c r="I209" s="21" t="s">
        <v>61</v>
      </c>
      <c r="J209" s="21" t="s">
        <v>0</v>
      </c>
      <c r="K209" s="21" t="s">
        <v>7</v>
      </c>
      <c r="L209" s="21">
        <v>594.5</v>
      </c>
      <c r="M209" s="21">
        <v>6.5</v>
      </c>
      <c r="P209" s="21" t="s">
        <v>14</v>
      </c>
      <c r="Q209" s="21" t="s">
        <v>25</v>
      </c>
      <c r="S209" s="21">
        <v>594.5</v>
      </c>
      <c r="T209" s="21">
        <v>6.5</v>
      </c>
      <c r="X209" s="21" t="s">
        <v>1337</v>
      </c>
      <c r="Y209" s="22"/>
      <c r="AB209" s="21" t="s">
        <v>435</v>
      </c>
      <c r="AG209" s="21" t="s">
        <v>429</v>
      </c>
    </row>
    <row r="210" spans="1:34" x14ac:dyDescent="0.35">
      <c r="A210" s="21">
        <v>209</v>
      </c>
      <c r="B210" s="20">
        <f>_xlfn.XLOOKUP(C210, csl_deposits!B:B, csl_deposits!A:A, "NA", 0,1)</f>
        <v>85</v>
      </c>
      <c r="C210" s="21" t="s">
        <v>900</v>
      </c>
      <c r="D210" s="21" t="s">
        <v>443</v>
      </c>
      <c r="E210" s="21" t="s">
        <v>1188</v>
      </c>
      <c r="F210" s="21" t="s">
        <v>1344</v>
      </c>
      <c r="G210" s="21" t="s">
        <v>0</v>
      </c>
      <c r="H210" s="21" t="s">
        <v>1185</v>
      </c>
      <c r="I210" s="21" t="s">
        <v>79</v>
      </c>
      <c r="J210" s="21" t="s">
        <v>0</v>
      </c>
      <c r="K210" s="21" t="s">
        <v>7</v>
      </c>
      <c r="L210" s="21">
        <v>651.4</v>
      </c>
      <c r="M210" s="21">
        <v>5.3</v>
      </c>
      <c r="P210" s="21" t="s">
        <v>14</v>
      </c>
      <c r="Q210" s="21" t="s">
        <v>25</v>
      </c>
      <c r="S210" s="21">
        <v>651.4</v>
      </c>
      <c r="T210" s="21">
        <v>5.3</v>
      </c>
      <c r="X210" s="21" t="s">
        <v>1337</v>
      </c>
      <c r="Y210" s="22"/>
      <c r="AB210" s="21" t="s">
        <v>435</v>
      </c>
      <c r="AG210" s="21" t="s">
        <v>429</v>
      </c>
    </row>
    <row r="211" spans="1:34" x14ac:dyDescent="0.35">
      <c r="A211" s="21">
        <v>210</v>
      </c>
      <c r="B211" s="20">
        <f>_xlfn.XLOOKUP(C211, csl_deposits!B:B, csl_deposits!A:A, "NA", 0,1)</f>
        <v>85</v>
      </c>
      <c r="C211" s="21" t="s">
        <v>900</v>
      </c>
      <c r="D211" s="21" t="s">
        <v>444</v>
      </c>
      <c r="E211" s="21" t="s">
        <v>1188</v>
      </c>
      <c r="F211" s="21" t="s">
        <v>1344</v>
      </c>
      <c r="G211" s="21" t="s">
        <v>0</v>
      </c>
      <c r="H211" s="21" t="s">
        <v>1185</v>
      </c>
      <c r="I211" s="21" t="s">
        <v>445</v>
      </c>
      <c r="J211" s="21" t="s">
        <v>0</v>
      </c>
      <c r="K211" s="21" t="s">
        <v>7</v>
      </c>
      <c r="L211" s="21">
        <v>728.6</v>
      </c>
      <c r="M211" s="21">
        <v>7.8</v>
      </c>
      <c r="P211" s="21" t="s">
        <v>14</v>
      </c>
      <c r="Q211" s="21" t="s">
        <v>25</v>
      </c>
      <c r="S211" s="21">
        <v>728.6</v>
      </c>
      <c r="T211" s="21">
        <v>7.8</v>
      </c>
      <c r="X211" s="21" t="s">
        <v>1337</v>
      </c>
      <c r="Y211" s="22"/>
      <c r="AB211" s="21" t="s">
        <v>435</v>
      </c>
      <c r="AG211" s="21" t="s">
        <v>429</v>
      </c>
    </row>
    <row r="212" spans="1:34" x14ac:dyDescent="0.35">
      <c r="A212" s="21">
        <v>211</v>
      </c>
      <c r="B212" s="20">
        <f>_xlfn.XLOOKUP(C212, csl_deposits!B:B, csl_deposits!A:A, "NA", 0,1)</f>
        <v>87</v>
      </c>
      <c r="C212" s="21" t="s">
        <v>904</v>
      </c>
      <c r="E212" s="21" t="s">
        <v>1190</v>
      </c>
      <c r="F212" s="29" t="s">
        <v>1345</v>
      </c>
      <c r="G212" s="21" t="s">
        <v>1</v>
      </c>
      <c r="H212" s="21" t="s">
        <v>1191</v>
      </c>
      <c r="I212" s="21" t="s">
        <v>981</v>
      </c>
      <c r="J212" s="21" t="s">
        <v>1</v>
      </c>
      <c r="L212" s="21">
        <v>538.79999999999995</v>
      </c>
      <c r="Y212" s="22"/>
      <c r="Z212" s="21" t="s">
        <v>1346</v>
      </c>
      <c r="AB212" s="21" t="s">
        <v>1347</v>
      </c>
      <c r="AF212" s="21" t="s">
        <v>1348</v>
      </c>
      <c r="AG212" s="21" t="s">
        <v>1090</v>
      </c>
    </row>
    <row r="213" spans="1:34" x14ac:dyDescent="0.35">
      <c r="A213" s="21">
        <v>212</v>
      </c>
      <c r="B213" s="20">
        <f>_xlfn.XLOOKUP(C213, csl_deposits!B:B, csl_deposits!A:A, "NA", 0,1)</f>
        <v>88</v>
      </c>
      <c r="C213" s="21" t="s">
        <v>909</v>
      </c>
      <c r="E213" s="21" t="s">
        <v>1190</v>
      </c>
      <c r="F213" s="21" t="s">
        <v>1349</v>
      </c>
      <c r="G213" s="21" t="s">
        <v>1</v>
      </c>
      <c r="H213" s="21" t="s">
        <v>1191</v>
      </c>
      <c r="I213" s="21" t="s">
        <v>79</v>
      </c>
      <c r="J213" s="21" t="s">
        <v>1</v>
      </c>
      <c r="L213" s="21">
        <v>538.79999999999995</v>
      </c>
      <c r="AB213" s="21" t="s">
        <v>986</v>
      </c>
      <c r="AD213" s="21" t="s">
        <v>1350</v>
      </c>
      <c r="AG213" s="21" t="s">
        <v>1259</v>
      </c>
    </row>
    <row r="214" spans="1:34" x14ac:dyDescent="0.35">
      <c r="A214" s="21">
        <v>213</v>
      </c>
      <c r="B214" s="20">
        <f>_xlfn.XLOOKUP(C214, csl_deposits!B:B, csl_deposits!A:A, "NA", 0,1)</f>
        <v>89</v>
      </c>
      <c r="C214" s="21" t="s">
        <v>915</v>
      </c>
      <c r="D214" s="21" t="s">
        <v>170</v>
      </c>
      <c r="E214" s="21" t="s">
        <v>1190</v>
      </c>
      <c r="F214" s="21" t="s">
        <v>1463</v>
      </c>
      <c r="H214" s="21" t="s">
        <v>1185</v>
      </c>
      <c r="I214" s="21" t="s">
        <v>172</v>
      </c>
      <c r="J214" s="21" t="s">
        <v>0</v>
      </c>
      <c r="K214" s="21" t="s">
        <v>7</v>
      </c>
      <c r="L214" s="23">
        <v>569.89</v>
      </c>
      <c r="M214" s="23">
        <v>0.17</v>
      </c>
      <c r="P214" s="21" t="s">
        <v>32</v>
      </c>
      <c r="Q214" s="21" t="s">
        <v>25</v>
      </c>
      <c r="S214" s="23">
        <v>569.89</v>
      </c>
      <c r="T214" s="23">
        <v>0.17</v>
      </c>
      <c r="W214" s="21">
        <v>0.21</v>
      </c>
      <c r="X214" s="21" t="s">
        <v>1024</v>
      </c>
      <c r="Y214" s="22" t="s">
        <v>1351</v>
      </c>
      <c r="Z214" s="21" t="s">
        <v>33</v>
      </c>
      <c r="AB214" s="22" t="s">
        <v>174</v>
      </c>
      <c r="AG214" s="21" t="s">
        <v>35</v>
      </c>
      <c r="AH214" s="21" t="s">
        <v>37</v>
      </c>
    </row>
    <row r="215" spans="1:34" x14ac:dyDescent="0.35">
      <c r="A215" s="21">
        <v>214</v>
      </c>
      <c r="B215" s="20">
        <f>_xlfn.XLOOKUP(C215, csl_deposits!B:B, csl_deposits!A:A, "NA", 0,1)</f>
        <v>89</v>
      </c>
      <c r="C215" s="21" t="s">
        <v>915</v>
      </c>
      <c r="D215" s="21" t="s">
        <v>1462</v>
      </c>
      <c r="E215" s="21" t="s">
        <v>1190</v>
      </c>
      <c r="F215" s="21" t="s">
        <v>1464</v>
      </c>
      <c r="G215" s="21" t="s">
        <v>1</v>
      </c>
      <c r="H215" s="21" t="s">
        <v>1185</v>
      </c>
      <c r="I215" s="21" t="s">
        <v>31</v>
      </c>
      <c r="J215" s="21" t="s">
        <v>13</v>
      </c>
      <c r="K215" s="21" t="s">
        <v>7</v>
      </c>
      <c r="L215" s="21">
        <v>567</v>
      </c>
      <c r="M215" s="21">
        <v>7.8</v>
      </c>
      <c r="P215" s="21" t="s">
        <v>71</v>
      </c>
      <c r="Q215" s="21" t="s">
        <v>9</v>
      </c>
      <c r="S215" s="21">
        <v>567</v>
      </c>
      <c r="T215" s="21">
        <v>7.8</v>
      </c>
      <c r="W215" s="21">
        <v>0.108</v>
      </c>
      <c r="X215" s="21" t="s">
        <v>1465</v>
      </c>
      <c r="Y215" s="22" t="s">
        <v>1466</v>
      </c>
      <c r="Z215" s="21" t="s">
        <v>33</v>
      </c>
      <c r="AB215" s="21" t="s">
        <v>1467</v>
      </c>
      <c r="AC215" s="21" t="s">
        <v>1468</v>
      </c>
      <c r="AG215" s="21" t="s">
        <v>1461</v>
      </c>
    </row>
  </sheetData>
  <autoFilter ref="A1:AJ215" xr:uid="{0587580A-52CB-49E5-BD42-E612AC27FD35}"/>
  <conditionalFormatting sqref="A1:XFD1048576">
    <cfRule type="containsBlanks" dxfId="7" priority="8">
      <formula>LEN(TRIM(A1))=0</formula>
    </cfRule>
  </conditionalFormatting>
  <dataValidations count="2">
    <dataValidation type="list" allowBlank="1" showInputMessage="1" showErrorMessage="1" sqref="K2:K24 K99:K205 K207:K1048576 K26:K97" xr:uid="{7B8E4E4A-BD36-4DAC-8D6B-32647AE01523}">
      <formula1>"U-Pb, Pb-Pb, Ar-Ar, K-Ar, Re-Os, Rb-Sr, 13C, 87Sr, NA"</formula1>
    </dataValidation>
    <dataValidation type="list" allowBlank="1" showInputMessage="1" showErrorMessage="1" sqref="I98 F98" xr:uid="{E0997B59-3273-4F25-A4CB-5293BD2441E0}">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F56AFD6-1B00-4726-BE82-44361571D5C3}">
          <x14:formula1>
            <xm:f>references!$B:$B</xm:f>
          </x14:formula1>
          <xm:sqref>AG1:AJ1048576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f64dc32-b692-4574-b8ef-663a628521e2" xsi:nil="true"/>
    <lcf76f155ced4ddcb4097134ff3c332f xmlns="34f7db31-ae1f-4aec-bd4e-9797ed2b464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00FB6B67E79FA45AFAC5519C50F741F" ma:contentTypeVersion="13" ma:contentTypeDescription="Create a new document." ma:contentTypeScope="" ma:versionID="01717c2105b7b83bf80a64e0903734d8">
  <xsd:schema xmlns:xsd="http://www.w3.org/2001/XMLSchema" xmlns:xs="http://www.w3.org/2001/XMLSchema" xmlns:p="http://schemas.microsoft.com/office/2006/metadata/properties" xmlns:ns2="34f7db31-ae1f-4aec-bd4e-9797ed2b4646" xmlns:ns3="6f64dc32-b692-4574-b8ef-663a628521e2" targetNamespace="http://schemas.microsoft.com/office/2006/metadata/properties" ma:root="true" ma:fieldsID="7ce22d48f7aac56f1351f33fc7f5243e" ns2:_="" ns3:_="">
    <xsd:import namespace="34f7db31-ae1f-4aec-bd4e-9797ed2b4646"/>
    <xsd:import namespace="6f64dc32-b692-4574-b8ef-663a628521e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7db31-ae1f-4aec-bd4e-9797ed2b46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5d023d89-6bf8-49d2-a6ae-99c0c7930fb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4dc32-b692-4574-b8ef-663a628521e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2402349-50b4-49f3-80ae-3606b94af445}" ma:internalName="TaxCatchAll" ma:showField="CatchAllData" ma:web="6f64dc32-b692-4574-b8ef-663a628521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B8518A-F80B-496A-A56B-36CEB767A354}">
  <ds:schemaRefs>
    <ds:schemaRef ds:uri="http://schemas.microsoft.com/sharepoint/v3/contenttype/forms"/>
  </ds:schemaRefs>
</ds:datastoreItem>
</file>

<file path=customXml/itemProps2.xml><?xml version="1.0" encoding="utf-8"?>
<ds:datastoreItem xmlns:ds="http://schemas.openxmlformats.org/officeDocument/2006/customXml" ds:itemID="{5759D896-D0BC-4DB6-8FD9-5EB9EFA82C04}">
  <ds:schemaRefs>
    <ds:schemaRef ds:uri="http://schemas.microsoft.com/office/2006/metadata/properties"/>
    <ds:schemaRef ds:uri="http://schemas.microsoft.com/office/infopath/2007/PartnerControls"/>
    <ds:schemaRef ds:uri="6f64dc32-b692-4574-b8ef-663a628521e2"/>
    <ds:schemaRef ds:uri="34f7db31-ae1f-4aec-bd4e-9797ed2b4646"/>
  </ds:schemaRefs>
</ds:datastoreItem>
</file>

<file path=customXml/itemProps3.xml><?xml version="1.0" encoding="utf-8"?>
<ds:datastoreItem xmlns:ds="http://schemas.openxmlformats.org/officeDocument/2006/customXml" ds:itemID="{CF69E548-239C-46FA-8439-505D75C94D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f7db31-ae1f-4aec-bd4e-9797ed2b4646"/>
    <ds:schemaRef ds:uri="6f64dc32-b692-4574-b8ef-663a628521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references</vt:lpstr>
      <vt:lpstr>meih_occurrences</vt:lpstr>
      <vt:lpstr>csl_deposits</vt:lpstr>
      <vt:lpstr>csl_age_constraints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Hearing, Thomas W. (Dr.)</dc:creator>
  <cp:lastModifiedBy>Wong Hearing, Thomas W. (Dr.)</cp:lastModifiedBy>
  <dcterms:created xsi:type="dcterms:W3CDTF">2025-01-29T15:35:01Z</dcterms:created>
  <dcterms:modified xsi:type="dcterms:W3CDTF">2026-06-05T10:24:31Z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0x010100200FB6B67E79FA45AFAC5519C50F741F</vt:lpwstr>
  </property>
  <property fmtid="{D5CDD505-2E9C-101B-9397-08002B2CF9AE}" pid="3" name="MediaServiceImageTags">
    <vt:lpwstr/>
  </property>
</Properties>
</file>